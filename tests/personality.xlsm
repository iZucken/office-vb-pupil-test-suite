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81.xml" ContentType="application/vnd.ms-excel.controlproperties+xml"/>
  <Override PartName="/xl/ctrlProps/ctrlProp182.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Projects\vladumur\finalized tests\"/>
    </mc:Choice>
  </mc:AlternateContent>
  <bookViews>
    <workbookView xWindow="0" yWindow="0" windowWidth="24705" windowHeight="12255" activeTab="2"/>
  </bookViews>
  <sheets>
    <sheet name="Лист1" sheetId="4" r:id="rId1"/>
    <sheet name="Лист2" sheetId="5" r:id="rId2"/>
    <sheet name="Титульная страница" sheetId="1" r:id="rId3"/>
    <sheet name="Итоговые метрики" sheetId="3" r:id="rId4"/>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 i="3" l="1"/>
  <c r="I5" i="3"/>
  <c r="H5" i="3"/>
  <c r="G5" i="3"/>
  <c r="F5" i="3"/>
  <c r="E5" i="3"/>
  <c r="D5" i="3"/>
  <c r="C5" i="3"/>
  <c r="J3" i="3"/>
  <c r="I3" i="3"/>
  <c r="H3" i="3"/>
  <c r="G3" i="3"/>
  <c r="F3" i="3"/>
  <c r="E3" i="3"/>
  <c r="D3" i="3"/>
  <c r="C3" i="3"/>
  <c r="D82" i="5"/>
  <c r="D83" i="5"/>
  <c r="D84" i="5"/>
  <c r="D85" i="5"/>
  <c r="D86" i="5"/>
  <c r="D87" i="5"/>
  <c r="D88" i="5"/>
  <c r="D89" i="5"/>
  <c r="C82" i="5"/>
  <c r="C83" i="5"/>
  <c r="C84" i="5"/>
  <c r="C85" i="5"/>
  <c r="C86" i="5"/>
  <c r="C87" i="5"/>
  <c r="C88" i="5"/>
  <c r="C89" i="5"/>
  <c r="B61" i="5"/>
  <c r="M61" i="5" s="1"/>
  <c r="B60" i="5"/>
  <c r="L60" i="5" s="1"/>
  <c r="B59" i="5"/>
  <c r="M59" i="5" s="1"/>
  <c r="B58" i="5"/>
  <c r="L58" i="5" s="1"/>
  <c r="B57" i="5"/>
  <c r="M57" i="5" s="1"/>
  <c r="B56" i="5"/>
  <c r="L56" i="5" s="1"/>
  <c r="B55" i="5"/>
  <c r="M55" i="5" s="1"/>
  <c r="B54" i="5"/>
  <c r="M54" i="5" s="1"/>
  <c r="B53" i="5"/>
  <c r="L53" i="5" s="1"/>
  <c r="B52" i="5"/>
  <c r="L52" i="5" s="1"/>
  <c r="B51" i="5"/>
  <c r="K51" i="5" s="1"/>
  <c r="B50" i="5"/>
  <c r="J50" i="5" s="1"/>
  <c r="B49" i="5"/>
  <c r="I49" i="5" s="1"/>
  <c r="B48" i="5"/>
  <c r="G48" i="5" s="1"/>
  <c r="B47" i="5"/>
  <c r="K47" i="5" s="1"/>
  <c r="B46" i="5"/>
  <c r="B45" i="5"/>
  <c r="I45" i="5" s="1"/>
  <c r="H44" i="5"/>
  <c r="B44" i="5"/>
  <c r="K43" i="5"/>
  <c r="B43" i="5"/>
  <c r="B42" i="5"/>
  <c r="J42" i="5" s="1"/>
  <c r="B41" i="5"/>
  <c r="I41" i="5" s="1"/>
  <c r="B40" i="5"/>
  <c r="H40" i="5" s="1"/>
  <c r="B39" i="5"/>
  <c r="K39" i="5" s="1"/>
  <c r="B38" i="5"/>
  <c r="J38" i="5" s="1"/>
  <c r="B37" i="5"/>
  <c r="I37" i="5" s="1"/>
  <c r="H36" i="5"/>
  <c r="B36" i="5"/>
  <c r="K35" i="5"/>
  <c r="B35" i="5"/>
  <c r="J34" i="5"/>
  <c r="B34" i="5"/>
  <c r="B33" i="5"/>
  <c r="I33" i="5" s="1"/>
  <c r="H32" i="5"/>
  <c r="B32" i="5"/>
  <c r="B31" i="5"/>
  <c r="G31" i="5" s="1"/>
  <c r="B30" i="5"/>
  <c r="F30" i="5" s="1"/>
  <c r="B29" i="5"/>
  <c r="E29" i="5" s="1"/>
  <c r="B28" i="5"/>
  <c r="N28" i="5" s="1"/>
  <c r="G27" i="5"/>
  <c r="B27" i="5"/>
  <c r="F26" i="5"/>
  <c r="B26" i="5"/>
  <c r="B25" i="5"/>
  <c r="E25" i="5" s="1"/>
  <c r="B24" i="5"/>
  <c r="N24" i="5" s="1"/>
  <c r="G23" i="5"/>
  <c r="B23" i="5"/>
  <c r="B22" i="5"/>
  <c r="F22" i="5" s="1"/>
  <c r="B21" i="5"/>
  <c r="E21" i="5" s="1"/>
  <c r="N20" i="5"/>
  <c r="B20" i="5"/>
  <c r="B19" i="5"/>
  <c r="G19" i="5" s="1"/>
  <c r="F18" i="5"/>
  <c r="B18" i="5"/>
  <c r="B17" i="5"/>
  <c r="E17" i="5" s="1"/>
  <c r="B16" i="5"/>
  <c r="N16" i="5" s="1"/>
  <c r="B15" i="5"/>
  <c r="G15" i="5" s="1"/>
  <c r="F14" i="5"/>
  <c r="B14" i="5"/>
  <c r="B13" i="5"/>
  <c r="E13" i="5" s="1"/>
  <c r="B12" i="5"/>
  <c r="N12" i="5" s="1"/>
  <c r="D11" i="5"/>
  <c r="B11" i="5"/>
  <c r="B10" i="5"/>
  <c r="C10" i="5" s="1"/>
  <c r="B9" i="5"/>
  <c r="D9" i="5" s="1"/>
  <c r="B8" i="5"/>
  <c r="C8" i="5" s="1"/>
  <c r="B7" i="5"/>
  <c r="D7" i="5" s="1"/>
  <c r="B6" i="5"/>
  <c r="C6" i="5" s="1"/>
  <c r="B5" i="5"/>
  <c r="D5" i="5" s="1"/>
  <c r="B4" i="5"/>
  <c r="D4" i="5" s="1"/>
  <c r="B3" i="5"/>
  <c r="C3" i="5" s="1"/>
  <c r="B2" i="5"/>
  <c r="C2" i="5" s="1"/>
  <c r="N62" i="5" l="1"/>
  <c r="C75" i="5" s="1"/>
  <c r="D75" i="5" s="1"/>
  <c r="G62" i="5"/>
  <c r="C62" i="5"/>
  <c r="C66" i="5" s="1"/>
  <c r="F62" i="5"/>
  <c r="C68" i="5" s="1"/>
  <c r="D68" i="5" s="1"/>
  <c r="D62" i="5"/>
  <c r="C67" i="5" s="1"/>
  <c r="M62" i="5"/>
  <c r="C74" i="5" s="1"/>
  <c r="D74" i="5" s="1"/>
  <c r="K62" i="5"/>
  <c r="V57" i="5" s="1"/>
  <c r="V58" i="5" s="1"/>
  <c r="J62" i="5"/>
  <c r="H62" i="5"/>
  <c r="C69" i="5" s="1"/>
  <c r="D69" i="5" s="1"/>
  <c r="X57" i="5"/>
  <c r="AB57" i="5"/>
  <c r="I62" i="5"/>
  <c r="L62" i="5"/>
  <c r="C73" i="5" s="1"/>
  <c r="D73" i="5" s="1"/>
  <c r="E62" i="5"/>
  <c r="Q57" i="5" s="1"/>
  <c r="D67" i="5" l="1"/>
  <c r="D81" i="5" s="1"/>
  <c r="B5" i="3" s="1"/>
  <c r="C81" i="5"/>
  <c r="B3" i="3" s="1"/>
  <c r="D66" i="5"/>
  <c r="D80" i="5" s="1"/>
  <c r="A5" i="3" s="1"/>
  <c r="C80" i="5"/>
  <c r="A3" i="3" s="1"/>
  <c r="S57" i="5"/>
  <c r="W57" i="5"/>
  <c r="U58" i="5" s="1"/>
  <c r="R57" i="5"/>
  <c r="AA57" i="5"/>
  <c r="Z58" i="5" s="1"/>
  <c r="Q58" i="5"/>
  <c r="P58" i="5"/>
  <c r="Q59" i="5" l="1"/>
  <c r="Q60" i="5"/>
  <c r="AA59" i="5"/>
  <c r="AA60" i="5"/>
  <c r="V59" i="5"/>
  <c r="V60" i="5"/>
  <c r="X60" i="5" l="1"/>
  <c r="C71" i="5" s="1"/>
  <c r="D71" i="5" s="1"/>
  <c r="AC60" i="5"/>
  <c r="C70" i="5" s="1"/>
  <c r="D70" i="5" s="1"/>
  <c r="S60" i="5"/>
  <c r="C72" i="5" s="1"/>
  <c r="D72" i="5" s="1"/>
</calcChain>
</file>

<file path=xl/sharedStrings.xml><?xml version="1.0" encoding="utf-8"?>
<sst xmlns="http://schemas.openxmlformats.org/spreadsheetml/2006/main" count="301" uniqueCount="207">
  <si>
    <t>Выбор ученика</t>
  </si>
  <si>
    <t>Выбор группы</t>
  </si>
  <si>
    <t>К тебе хорошо относятся почти все ребята</t>
  </si>
  <si>
    <t>или</t>
  </si>
  <si>
    <t>только некоторые ребята</t>
  </si>
  <si>
    <t>Когда ты утром просыпаешься, ты долго ходишь недовольный и раздражительный</t>
  </si>
  <si>
    <t>тебе сразу хочется поговорить с кемнибудь</t>
  </si>
  <si>
    <t>При неожиданном звуке ты вздрагиваешь</t>
  </si>
  <si>
    <t>ты просто оглядываешься</t>
  </si>
  <si>
    <t>Бываешь ли ты иногда не уверен в себе</t>
  </si>
  <si>
    <t>ты обычно чувствуешь себя уверенно</t>
  </si>
  <si>
    <t>Ты всегда радуешься, когда видишь своих школьных друзей</t>
  </si>
  <si>
    <t>иногда тебе никого не хочется видеть</t>
  </si>
  <si>
    <t>Если ты чем-то взволнован, то невольно говоришь громко</t>
  </si>
  <si>
    <t>ты всегда разговариваешь спокойно</t>
  </si>
  <si>
    <t>Другим ребятам нравится то, что ты предлагаешь</t>
  </si>
  <si>
    <t>им не всегда это нравится</t>
  </si>
  <si>
    <t>Если ты смотришь телевизор, а рядом громко разговаривают, это портит тебе удовольствие и злит</t>
  </si>
  <si>
    <t>тебе это не мешает</t>
  </si>
  <si>
    <t>Тебе бывает скучно, когда ты остаешься один и не с кем поговорить</t>
  </si>
  <si>
    <t>тебе бывает приятно побыть одному</t>
  </si>
  <si>
    <t>Бывают ли дни, когда у тебя ничего не получается</t>
  </si>
  <si>
    <t>у тебя таких невезучих дней не бывает</t>
  </si>
  <si>
    <t>Иногда ты можешь прихвастнуть</t>
  </si>
  <si>
    <t>ты никогда не хвастаешься</t>
  </si>
  <si>
    <t>Ты сидишь во время урока спокойно</t>
  </si>
  <si>
    <t>любишь и повертеться</t>
  </si>
  <si>
    <t>Ты обычно возражаешь маме, учителям, если считаешь, что они не правы</t>
  </si>
  <si>
    <t>обычно ты просто выслушиваешь замечания</t>
  </si>
  <si>
    <t>У тебя меньше друзей, чем у большинства ребят</t>
  </si>
  <si>
    <t>у тебя их даже больше, чем у других</t>
  </si>
  <si>
    <t>В игре ты любишь выигрывать</t>
  </si>
  <si>
    <t>тебе все равно, выиграешь ты или нет</t>
  </si>
  <si>
    <t>Ты считаешь, что ты всегда вежлив</t>
  </si>
  <si>
    <t>ты бываешь и надоедливым</t>
  </si>
  <si>
    <t>Тебе нередко говорят, что с тобой трудно договориться, потому что ты любишь настаивать на своем</t>
  </si>
  <si>
    <t>с тобой легко иметь дело</t>
  </si>
  <si>
    <t>Меняешься ли ты обычно с ребятами своими вещами (карандашами, линейками)</t>
  </si>
  <si>
    <t>ты никогда этого не делаешь</t>
  </si>
  <si>
    <t>Бывало такое, что ты грубил своим родителям</t>
  </si>
  <si>
    <t>никогда такого не было</t>
  </si>
  <si>
    <t>Когда тебе сообщают приятную новость, ты радуешься спокойно</t>
  </si>
  <si>
    <t>тебе от радости хочется прыгать</t>
  </si>
  <si>
    <t>Твои родители знают все лучше, чем ты</t>
  </si>
  <si>
    <t>часто твое предложение бывает лучше</t>
  </si>
  <si>
    <t>Если бы ты был диким животным, ты охотнее стал бы оленем</t>
  </si>
  <si>
    <t>ты стал бы львом</t>
  </si>
  <si>
    <t>Тебе не так-то просто признать свою неправоту в споре</t>
  </si>
  <si>
    <t>ты легко соглашаешься, что был не прав</t>
  </si>
  <si>
    <t>На перемене тебе обычно хочется побегать, повозиться</t>
  </si>
  <si>
    <t>ты обычно спокойно стоишь и ждешь следующего урока</t>
  </si>
  <si>
    <t>Если кто-то к тебе относится не очень хорошо, ты прощаешь ему это</t>
  </si>
  <si>
    <t>ты тоже к нему не очень хорошо относишься</t>
  </si>
  <si>
    <t>Что тебе больше понравилось бы в бассейне: плавать</t>
  </si>
  <si>
    <t>нырять с вышки</t>
  </si>
  <si>
    <t>Если ты обещаешь что-то, то всегда выполняешь свои обещания</t>
  </si>
  <si>
    <t>иногда случается, что забываешь или не успеваешь что-то сделать</t>
  </si>
  <si>
    <t>Учителя часто говорят, что ты невнимателен на уроках, допускаешь много помарок в тетрадях</t>
  </si>
  <si>
    <t>они этого почти никогда не говорят</t>
  </si>
  <si>
    <t>В спорах ты во что бы то ни стало стремишься доказать свою правоту</t>
  </si>
  <si>
    <t>ты легко можешь и уступить</t>
  </si>
  <si>
    <t>Какой рассказ ты лучше послушал бы: о сражениях и боях</t>
  </si>
  <si>
    <t>о том, как работают люди в заповедниках</t>
  </si>
  <si>
    <t>Ты всегда следуешь советам старших (родителей, учителей)</t>
  </si>
  <si>
    <t>ты на их рекомендации мало обращаешь внимания</t>
  </si>
  <si>
    <t>Ты быстро знакомишься с новыми ребятами на даче, в лагере, во дворе</t>
  </si>
  <si>
    <t>тебе трудно бывает подойти и первому заговорить</t>
  </si>
  <si>
    <t>Кем бы ты больше хотел стать: бизнесменом, директором завода, банка</t>
  </si>
  <si>
    <t>тебе интереснее было бы быть писателем или артистом</t>
  </si>
  <si>
    <t>Если мама или учитель тебя отругают, ты очень расстраиваешься</t>
  </si>
  <si>
    <t>у тебя почти не портится настроение</t>
  </si>
  <si>
    <t>Обычно ты собираешь свой портфель с вечера</t>
  </si>
  <si>
    <t>чаще это делаешь перед самым уходом в школу</t>
  </si>
  <si>
    <t>Тебя нередко хвалит учитель, иногда делает замечания</t>
  </si>
  <si>
    <t>он о тебе на уроках мало говорит</t>
  </si>
  <si>
    <t>Ты можешь спокойно дотронуться до паука</t>
  </si>
  <si>
    <t>паук тебе неприятен</t>
  </si>
  <si>
    <t>Ты часто обижаешься</t>
  </si>
  <si>
    <t>это случается очень редко</t>
  </si>
  <si>
    <t>Когда родители говорят, что уже поздно, пора спать, ты обычно сразу идешь</t>
  </si>
  <si>
    <t>только после многих напоминаний начинаешь собираться ко сну</t>
  </si>
  <si>
    <t>Ты смущаешься, когда приходится разговаривать с незнакомым человеком</t>
  </si>
  <si>
    <t>ты совсем не смущаешься</t>
  </si>
  <si>
    <t>Тебе больше нравятся уроки русского языка</t>
  </si>
  <si>
    <t>математики</t>
  </si>
  <si>
    <t>Ты долго помнишь о своих неудачах</t>
  </si>
  <si>
    <t>ты быстро о них забываешь</t>
  </si>
  <si>
    <t>Бывает, ты садишься за уроки и обнаруживаешь, что домашнее задание не записано</t>
  </si>
  <si>
    <t>у тебя всегда записано, что задано на дом по всем предметам</t>
  </si>
  <si>
    <t>Ты умеешь так рассказывать смешные истории, что все кругом смеются</t>
  </si>
  <si>
    <t>тебе не так-то это легко, как некоторым ребятам</t>
  </si>
  <si>
    <t>Тебе больше нравятся уроки музыки, рисования</t>
  </si>
  <si>
    <t>домоводство, ручной труд</t>
  </si>
  <si>
    <t>Сидишь ты иногда без дела и чувствуешь себя плохо</t>
  </si>
  <si>
    <t>такого с тобой не бывает</t>
  </si>
  <si>
    <t>По пути из школы ты успеваешь погулять, зайти к друзьям в гости</t>
  </si>
  <si>
    <t>после школы ты сразу идешь домой</t>
  </si>
  <si>
    <t>Тебе труднее отвечать у доски, чем с места</t>
  </si>
  <si>
    <t>ты никакой разницы не замечаешь</t>
  </si>
  <si>
    <t>Когда ты болеешь и сидишь дома, тебе грустно</t>
  </si>
  <si>
    <t>тебе это безразлично</t>
  </si>
  <si>
    <t>Когда ты идешь в школу, тебя нередко беспокоят мысли, не забыл ли ты ручку, дневник, все ли тетрадки положил</t>
  </si>
  <si>
    <t>тебе такое не приходит в голову</t>
  </si>
  <si>
    <t>У тебя быстро пропадает интерес, если что-то не получается, и ты с удовольствием берешься за какое-нибудь другое дело</t>
  </si>
  <si>
    <t>ты не займешься другим, пока не доделаешь начатое</t>
  </si>
  <si>
    <t>Ты чувствуешь себя уже достаточно самостоятельным человеком</t>
  </si>
  <si>
    <t>ты пока себя таким не считаешь</t>
  </si>
  <si>
    <t>Если друзья берут твои вещи без спроса, ты считаешь, что в этом нет ничего особенного</t>
  </si>
  <si>
    <t>ты сердишься на них</t>
  </si>
  <si>
    <t>Ты заканчиваешь свою работу в классе быстрее, чем другие</t>
  </si>
  <si>
    <t>тебе надо немного больше времени, чем другим</t>
  </si>
  <si>
    <t>Ты всегда поддерживаешь порядок на своем столе, все вещи у тебя лежат на своих местах</t>
  </si>
  <si>
    <t>иногда ты не сразу можешь найти нужную тебе книгу или какую-нибудь другую вещь</t>
  </si>
  <si>
    <t>Ты любишь все делать не спеша</t>
  </si>
  <si>
    <t>тебе нравится, когда работа кипит</t>
  </si>
  <si>
    <t>Ты стараешься хорошо подготовиться к контрольной работе, диктанту</t>
  </si>
  <si>
    <t>ты надеешься, что тебе повезет</t>
  </si>
  <si>
    <t>Если ты участвуешь в игре, а ребята вокруг громко обсуждают твои действия, то это тебе не нравится</t>
  </si>
  <si>
    <t>ты не обращаешь на это внимания</t>
  </si>
  <si>
    <t>Ты стараешься выбрать, кем быть, когда вырастешь, а, может быть, уже выбрал</t>
  </si>
  <si>
    <t>это тебя мало беспокоит</t>
  </si>
  <si>
    <t>Если тебя дома чем-то разозлили, ты спокойно выходишь из комнаты</t>
  </si>
  <si>
    <t>выходя из комнаты, ты можешь хлопнуть дверью</t>
  </si>
  <si>
    <t>№</t>
  </si>
  <si>
    <t>Сырые ответы</t>
  </si>
  <si>
    <t>A</t>
  </si>
  <si>
    <t>C</t>
  </si>
  <si>
    <t>D</t>
  </si>
  <si>
    <t>E</t>
  </si>
  <si>
    <t>F</t>
  </si>
  <si>
    <t>G</t>
  </si>
  <si>
    <t>H</t>
  </si>
  <si>
    <t>L</t>
  </si>
  <si>
    <t>O</t>
  </si>
  <si>
    <t>Q3</t>
  </si>
  <si>
    <t>Q4</t>
  </si>
  <si>
    <t>Q5</t>
  </si>
  <si>
    <t>Описания показателей</t>
  </si>
  <si>
    <t>D H Q4</t>
  </si>
  <si>
    <t>O H F</t>
  </si>
  <si>
    <t>H F</t>
  </si>
  <si>
    <t>А</t>
  </si>
  <si>
    <r>
      <t xml:space="preserve">Ребенок фактически недисциплинирован и неисполнителен, </t>
    </r>
    <r>
      <rPr>
        <sz val="12"/>
        <color theme="1"/>
        <rFont val="Times New Roman"/>
        <family val="1"/>
        <charset val="204"/>
      </rPr>
      <t>и неосознанно считает это вполне приемлемой формой поведения. Может никак не реагировать, когда его просят что-то сделать. Он не испытывает дискомфорта, когда ему делают замечания по поводу непослушания или плохого поведения. В этом случае необходимо спокойно, методично и последовательно добиваться от ребенка того, что он обязан делать. Следует избегать выговоров и нотаций, лучше ежедневно (в течение нескольких недель или месяцев) проделывать вместе с ребенком то, что должно быть им сделано. Не надо требовать от него того, что он еще самостоятельно делать не может, в этих случаях нужно помогать и проделывать все необходимое вместе с ним. Таким образом, ребенок постепенно привыкнет к другому образу жизни, начнет прислушиваться к советам и замечаниям старших и выполнять то, о чем его просят или что он обязан делать.</t>
    </r>
  </si>
  <si>
    <r>
      <t xml:space="preserve">Самоконтроль фактически отсутствует, поведение ситуативно. </t>
    </r>
    <r>
      <rPr>
        <sz val="12"/>
        <color theme="1"/>
        <rFont val="Times New Roman"/>
        <family val="1"/>
        <charset val="204"/>
      </rPr>
      <t>Ребенок не может направлять свои действия к определенной цели, заранее продумать и подготовить все необходимое, организовать свою деятельность, довести работу до конца. Нуждается в том, чтобы взрослые организовывали его жизнь, но одновременно учили его методам самоорганизации и самоконтроля, рационального планирования. Ребенок должен как можно более точно представлять, сколько времени у него занимает любой вид его деятельности (умывание, завтрак, разговор по телефону, дорога до школы, подготовка уроков по конкретным предметам и пр.), только тогда он сможет научиться распределять работу во времени и рационально планировать свой день. Также надо учить его периодическому (например, почасовому) контролю, самопроверкам, чтобы он умел оперативно оценивать, успевает ли он выполнять намеченное.</t>
    </r>
  </si>
  <si>
    <r>
      <t xml:space="preserve">Ребенок фактически пассивен, </t>
    </r>
    <r>
      <rPr>
        <sz val="12"/>
        <color theme="1"/>
        <rFont val="Times New Roman"/>
        <family val="1"/>
        <charset val="204"/>
      </rPr>
      <t>внутренние побудительные мотивы не выражены, может долгое время проводить в бездействии, если ему не предложат чем-то заняться или не требуется делать уроки. Бывает, что ни к чему не проявляет самостоятельного интереса. Не экспериментирует и поэтому не дос­тавляет взрослым неприятностей.</t>
    </r>
  </si>
  <si>
    <r>
      <t xml:space="preserve">Самокритичность отсутствует. </t>
    </r>
    <r>
      <rPr>
        <sz val="12"/>
        <color theme="1"/>
        <rFont val="Times New Roman"/>
        <family val="1"/>
        <charset val="204"/>
      </rPr>
      <t>Ребенок имеет о себе «улучшенное» представление, не видит своих недостатков, не в состоянии адекватно оценивать свои поступки. Такое самоотношение часто складывается и долго сохраняется у захваленных отличников, которые искренне считают себя идеальными детьми. Поскольку при этом они хорошо видят недостатки других детей и делают им замечания, у них могут не складываться отношения с одноклассниками.</t>
    </r>
  </si>
  <si>
    <r>
      <t xml:space="preserve">Ребенок зависим, </t>
    </r>
    <r>
      <rPr>
        <sz val="12"/>
        <color theme="1"/>
        <rFont val="Times New Roman"/>
        <family val="1"/>
        <charset val="204"/>
      </rPr>
      <t>уступчив, несамостоятелен в действиях и принятии решений, часто оказывается ведомым. Проявляет инфантилизм и беспомощность в ситуациях выбора, требует, чтобы ему сказали, как надо действовать. Им легко управлять, что родители и делают. Возможно закрепление воспи­танной беспомощности, если постепенно не обучать ребенка самостоятельному принятию решений.</t>
    </r>
  </si>
  <si>
    <r>
      <t xml:space="preserve">Слабый уровень тревожности. </t>
    </r>
    <r>
      <rPr>
        <sz val="12"/>
        <color theme="1"/>
        <rFont val="Times New Roman"/>
        <family val="1"/>
        <charset val="204"/>
      </rPr>
      <t>Отсутствует необходимая реакция на изменение ситуации, адаптационные изменения поведения обычно запаздывают. Излишняя расслабленность не позволяет вовремя корректировать поведение. Он может долго не замечать осложнений в учебе, быть уверенным, что у него все в порядке.</t>
    </r>
  </si>
  <si>
    <r>
      <t xml:space="preserve">Слабый уровень развития эмоциональной сферы. </t>
    </r>
    <r>
      <rPr>
        <sz val="12"/>
        <color theme="1"/>
        <rFont val="Times New Roman"/>
        <family val="1"/>
        <charset val="204"/>
      </rPr>
      <t>Встречается очень редко. У ребенка отсутствует душевный отклик на события окружающей жизни, чувства и проблемы других людей. Ребенок выглядит спокойным, черствым, равнодушно рационалистичным. Он может эмоционально реагировать толь­ко на то, что касается непосредственно его самого.</t>
    </r>
  </si>
  <si>
    <r>
      <t xml:space="preserve">Ребенок робкий, </t>
    </r>
    <r>
      <rPr>
        <sz val="12"/>
        <color theme="1"/>
        <rFont val="Times New Roman"/>
        <family val="1"/>
        <charset val="204"/>
      </rPr>
      <t>застенчивый, может теряться в новой обстановке, не умеет сам знакомиться с новыми детьми; Может испытывать затруднения, когда приходится отвечать на уроках без подготовки.</t>
    </r>
  </si>
  <si>
    <r>
      <t xml:space="preserve">Потребность в общении выражена слабо. </t>
    </r>
    <r>
      <rPr>
        <sz val="12"/>
        <color theme="1"/>
        <rFont val="Times New Roman"/>
        <family val="1"/>
        <charset val="204"/>
      </rPr>
      <t>Ребенок хорошо чувствует себя в одиночестве, обществу одноклассников предпочитает свои любимые занятия. Может иметь одного друга, с которым тоже встречается не часто.</t>
    </r>
  </si>
  <si>
    <r>
      <t xml:space="preserve">Слабый уровень психического напряжения. </t>
    </r>
    <r>
      <rPr>
        <sz val="12"/>
        <color theme="1"/>
        <rFont val="Times New Roman"/>
        <family val="1"/>
        <charset val="204"/>
      </rPr>
      <t>Свидетельствует об отсутствии заинтересованности, эмоционального включения в работу, учебу. Ребенок обычно все выполняет формально, по минимуму. Причиной этого зачастую является лень. Иногда слабый уровень психического напряжения может быть следствием общей астенизации ребенка, крайней соматической ослабленности. Слабое психическое напряжение может быть также характерно для детей с высокими способностями, которым все очень легко дается.</t>
    </r>
  </si>
  <si>
    <r>
      <t xml:space="preserve">Ребенок еще нуждается во внешнем контроле, </t>
    </r>
    <r>
      <rPr>
        <sz val="12"/>
        <color theme="1"/>
        <rFont val="Times New Roman"/>
        <family val="1"/>
        <charset val="204"/>
      </rPr>
      <t>так как не всегда бывает исполнительным. Он в целом настроен делать все, что надо, но не всегда об этом помнит. Если спокойно, последовательно помогать ему выполнять все школьные дела и домашние обязанности, то полноценное ответственное поведение постепенно сформируется.</t>
    </r>
  </si>
  <si>
    <r>
      <t xml:space="preserve">Ребенок может иногда заблаговременно подготовиться </t>
    </r>
    <r>
      <rPr>
        <sz val="12"/>
        <color theme="1"/>
        <rFont val="Times New Roman"/>
        <family val="1"/>
        <charset val="204"/>
      </rPr>
      <t>к какой-то работе, что-то без напоминаний доделать до конца, но это еще не стало образом его жизни. Если родители будут помогать ему придерживаться определенного распорядка дня, заранее продумывать, планировать все, что ему надо сделать, то у него сформируются необходимые навыки самоконтроля.</t>
    </r>
  </si>
  <si>
    <r>
      <t xml:space="preserve">Ребенок с нормальным уровнем активности, </t>
    </r>
    <r>
      <rPr>
        <sz val="12"/>
        <color theme="1"/>
        <rFont val="Times New Roman"/>
        <family val="1"/>
        <charset val="204"/>
      </rPr>
      <t>умеренно подвижный.</t>
    </r>
  </si>
  <si>
    <r>
      <t xml:space="preserve">Начальная стадия формирования самокритичности. </t>
    </r>
    <r>
      <rPr>
        <sz val="12"/>
        <color theme="1"/>
        <rFont val="Times New Roman"/>
        <family val="1"/>
        <charset val="204"/>
      </rPr>
      <t>Ребенок уже иногда задумывается о себе и может адекватно оценивать свои действия. Однако отношение к себе пока сохраняется целостное и несколько «улучшенное».</t>
    </r>
  </si>
  <si>
    <r>
      <t xml:space="preserve">Ребенок может сам принимать решения и действовать в игровых и бытовых ситуациях. </t>
    </r>
    <r>
      <rPr>
        <sz val="12"/>
        <color theme="1"/>
        <rFont val="Times New Roman"/>
        <family val="1"/>
        <charset val="204"/>
      </rPr>
      <t>Обычно на лидерство не претендует, но свое мнение имеет и может его высказывать. С ним можно сотрудничать, договариваться, долго его убеждать не надо.</t>
    </r>
  </si>
  <si>
    <r>
      <t xml:space="preserve">Оптимальный уровень тревожности. </t>
    </r>
    <r>
      <rPr>
        <sz val="12"/>
        <color theme="1"/>
        <rFont val="Times New Roman"/>
        <family val="1"/>
        <charset val="204"/>
      </rPr>
      <t>Имеется адекватная реакция мобилизационной готовности в неопределенных и меняющихся ситуациях, хорошая адаптивность и гибкость поведения.</t>
    </r>
  </si>
  <si>
    <t>Средний («нормальный») уровень эмоциональной реактивности.</t>
  </si>
  <si>
    <r>
      <t xml:space="preserve">Средние способности к адаптации. </t>
    </r>
    <r>
      <rPr>
        <sz val="12"/>
        <color theme="1"/>
        <rFont val="Times New Roman"/>
        <family val="1"/>
        <charset val="204"/>
      </rPr>
      <t>Может не проявлять особой инициативы в установлении контактов, но и не испытывать трудностей, когда это приходится делать.</t>
    </r>
  </si>
  <si>
    <t>Потребность в общении выражена средне.</t>
  </si>
  <si>
    <r>
      <t xml:space="preserve">Средний уровень психического напряжения. </t>
    </r>
    <r>
      <rPr>
        <sz val="12"/>
        <color theme="1"/>
        <rFont val="Times New Roman"/>
        <family val="1"/>
        <charset val="204"/>
      </rPr>
      <t>Нормальная работоспособность.</t>
    </r>
  </si>
  <si>
    <r>
      <t xml:space="preserve">Ребенок исполнителен и ответственен. </t>
    </r>
    <r>
      <rPr>
        <sz val="12"/>
        <color theme="1"/>
        <rFont val="Times New Roman"/>
        <family val="1"/>
        <charset val="204"/>
      </rPr>
      <t>Обычно аккуратен. Адекватно реагирует на просьбы и замечания старших, старается выполнять все, что от него требуется.</t>
    </r>
  </si>
  <si>
    <r>
      <t xml:space="preserve">Ребенок приучен к размеренному и рационально спланированному образу жизни, распорядку дня. </t>
    </r>
    <r>
      <rPr>
        <sz val="12"/>
        <color theme="1"/>
        <rFont val="Times New Roman"/>
        <family val="1"/>
        <charset val="204"/>
      </rPr>
      <t>Умеет организовать свою работу в рамках привычного образа жизни, успевает все делать вовремя. Это еще нельзя сравнивать с волевой регуляцией взрослого человека, но определенные навыки самоконтроля и целенаправленной деятельности у ребенка уже сложились.</t>
    </r>
  </si>
  <si>
    <r>
      <t xml:space="preserve">Активный, деятельный ребенок. </t>
    </r>
    <r>
      <rPr>
        <sz val="12"/>
        <color theme="1"/>
        <rFont val="Times New Roman"/>
        <family val="1"/>
        <charset val="204"/>
      </rPr>
      <t>Экспериментирующий, не любит сидеть без дела, всегда чем-то занят, что-то пробует. Не следует пытаться ограничивать его активность, надо найти для нее «безопасное» направление. Лучше поощрять расширение сферы его интересов, параллельные занятия в несколь­ких кружках или секциях, разрешать менять кружки, если ему что-то не понравилось и у него появились другие интересы. Такие дети доставляют немало хлопот, но если они находят свое призвание, то благодаря своей энергии многого достигают в жизни.</t>
    </r>
  </si>
  <si>
    <r>
      <t xml:space="preserve">Ребенок уже может независимо от того, как его оценивают другие, анализировать собственные поступки и формировать собственное мнение о себе. </t>
    </r>
    <r>
      <rPr>
        <sz val="12"/>
        <color theme="1"/>
        <rFont val="Times New Roman"/>
        <family val="1"/>
        <charset val="204"/>
      </rPr>
      <t>Оно в основном соответствует тому, что ребенок собой представляет. Он видит свои недостатки, может критически к ним относиться.</t>
    </r>
  </si>
  <si>
    <r>
      <t xml:space="preserve">Самостоятельный и независимый ребенок. </t>
    </r>
    <r>
      <rPr>
        <sz val="12"/>
        <color theme="1"/>
        <rFont val="Times New Roman"/>
        <family val="1"/>
        <charset val="204"/>
      </rPr>
      <t>Готов сам принимать решения не только в обыденных, но и в серь­езных жизненных ситуациях. На все имеет свое мнение, претендует на лидерство. Если пытаться управлять и помыкать им, то он может начать агрессивно защищаться. С ним можно догова­риваться, хотя это и не просто. Он готов к равноправной дискуссии, поддается убеждению.</t>
    </r>
  </si>
  <si>
    <r>
      <t xml:space="preserve">Несколько повышенный уровень тревожности. </t>
    </r>
    <r>
      <rPr>
        <sz val="12"/>
        <color theme="1"/>
        <rFont val="Times New Roman"/>
        <family val="1"/>
        <charset val="204"/>
      </rPr>
      <t>Свидетельствует о наличии в жизни ребенка каких-то ситуаций, которые выводят его из эмоционального равновесия и требуют повышенной мобилизационной готовности, чтобы справляться с ними. Возможно, какие-то предметы ему даются не так легко, как другим детям, и он проявляет большую озабоченность по этому поводу. Иногда неумение рационально организовать свою деятельность приходится компенсировать дополнительными проверками, которые сопровождаются страхами, не забыто ли что-нибудь. Эти ситуации нужно выяснить и помочь ребенку либо в учебе, либо в самоорганизации.</t>
    </r>
  </si>
  <si>
    <r>
      <t xml:space="preserve">Несколько повышенный уровень эмоционального реагирования. </t>
    </r>
    <r>
      <rPr>
        <sz val="12"/>
        <color theme="1"/>
        <rFont val="Times New Roman"/>
        <family val="1"/>
        <charset val="204"/>
      </rPr>
      <t>Проявляется во всех видах деятельности и ситуациях общения, но часто больше внутри, чем вовне. Ребенок может глубоко переживать неприятности, критику, несчастья близких ему людей.</t>
    </r>
  </si>
  <si>
    <r>
      <t xml:space="preserve">Легко адаптируется в новых условиях, </t>
    </r>
    <r>
      <rPr>
        <sz val="12"/>
        <color theme="1"/>
        <rFont val="Times New Roman"/>
        <family val="1"/>
        <charset val="204"/>
      </rPr>
      <t>знакомится с новыми детьми. Может общаться и со взрослыми, не испытывая перед ними робости. Естественен, непринужден в общении. Контактирует с различными микрогруппами в классе.</t>
    </r>
  </si>
  <si>
    <r>
      <t xml:space="preserve">Ребенок нуждается в общении. </t>
    </r>
    <r>
      <rPr>
        <sz val="12"/>
        <color theme="1"/>
        <rFont val="Times New Roman"/>
        <family val="1"/>
        <charset val="204"/>
      </rPr>
      <t>Плохо переносит одиночество. Глубоко переживает ссоры с друзьями.</t>
    </r>
  </si>
  <si>
    <r>
      <t xml:space="preserve">Ребенок эмоционально включается в любую деятельность, проявляет заинтересованность. </t>
    </r>
    <r>
      <rPr>
        <sz val="12"/>
        <color theme="1"/>
        <rFont val="Times New Roman"/>
        <family val="1"/>
        <charset val="204"/>
      </rPr>
      <t>Имеет место мотивация достижений. Отличается хорошей работоспособностью.</t>
    </r>
  </si>
  <si>
    <r>
      <t xml:space="preserve">Ребенок нерационален, в высшей степени исполнителен, </t>
    </r>
    <r>
      <rPr>
        <sz val="12"/>
        <color theme="1"/>
        <rFont val="Times New Roman"/>
        <family val="1"/>
        <charset val="204"/>
      </rPr>
      <t>у него отсутствуют критические, рациональные оценки того, что от него требуют старшие. Выполняет все буквально (как сказал учитель, так и надо делать), расстраивается, если почему-либо точное выполнение невозможно, тяжело реагирует на замечания. Необходимо учить рациональному подходу к любой работе.</t>
    </r>
  </si>
  <si>
    <r>
      <t xml:space="preserve">Спонтанность поведения, свойственная детям этого возраста, фактически отсутствует, </t>
    </r>
    <r>
      <rPr>
        <sz val="12"/>
        <color theme="1"/>
        <rFont val="Times New Roman"/>
        <family val="1"/>
        <charset val="204"/>
      </rPr>
      <t>ребенок «заорганизован», слишком озабочен, чтобы у него все было в порядке, свою «правильность» выставляет напоказ и стремится, чтобы взрослые его хвалили за это. Такое поведение поощрять не следует. Необходимо отделять рациональную организованность от показной и нарочитой. (Высокий уровень волевого самоконтроля никогда не ставится при наличии у ребенка ММД, так как он фактически не способен всегда себя контролировать, хотя может стремиться к этому.)</t>
    </r>
  </si>
  <si>
    <r>
      <t xml:space="preserve">Непоседливый ребенок, </t>
    </r>
    <r>
      <rPr>
        <sz val="12"/>
        <color theme="1"/>
        <rFont val="Times New Roman"/>
        <family val="1"/>
        <charset val="204"/>
      </rPr>
      <t>моментально откликается на все, что происходит вокруг, все время экспериментирует. Такого ребенка не следует оставлять без присмотра, потому что он может заинтересоваться чем-нибудь не совсем безопасным (например, электроприборами, химическими препаратами и пр.). Его невозможно успокоить и заставить сидеть тихо, ничего не делая. Попытки ввести его в какие-то рамки встречают сопротивление, ребенок может реагировать по принципу отпущенной пружины. Лучше находить для него «безопасные» формы проявления активности.</t>
    </r>
  </si>
  <si>
    <r>
      <t xml:space="preserve">Ребенок самокритичен, </t>
    </r>
    <r>
      <rPr>
        <sz val="12"/>
        <color theme="1"/>
        <rFont val="Times New Roman"/>
        <family val="1"/>
        <charset val="204"/>
      </rPr>
      <t>иногда склонен видеть у себя больше недостатков, чем есть на самом деле. Часто так бывает, когда ребенка больше ругают, чем хвалят, и в итоге он привыкает и принимает такую заниженную оценку, при этом она может его и не травмировать.</t>
    </r>
  </si>
  <si>
    <r>
      <t xml:space="preserve">Независимость проявляется в упрямстве и самоутверждении во что бы то ни стало. </t>
    </r>
    <r>
      <rPr>
        <sz val="12"/>
        <color theme="1"/>
        <rFont val="Times New Roman"/>
        <family val="1"/>
        <charset val="204"/>
      </rPr>
      <t>Стремится к доминированию над детьми. С ним трудно договориться, могут возникать проблемы в общении с одноклассниками. Может остаться в одиночестве, если не сможет подчинить себе других ребят. На любые советы взрослых сразу, не задумываясь, реагирует отвержением и отрицанием, даже когда эти советы могут идти ему на пользу. Такая позиция может формироваться у ребенка в начальный период подросткового кризиса, если окружающие его взрослые усиливают авторитарные методы воспитания, чтобы сохранить над ним власть.</t>
    </r>
  </si>
  <si>
    <r>
      <t xml:space="preserve">Высокий уровень тревожности. </t>
    </r>
    <r>
      <rPr>
        <sz val="12"/>
        <color theme="1"/>
        <rFont val="Times New Roman"/>
        <family val="1"/>
        <charset val="204"/>
      </rPr>
      <t>Свидетельствует о дезадаптации ребенка. Ребенок не верит в свои силы, настроен на неудачи. Жизнь представляется в виде сплошных неприятностей, которые он предотвратить не может и ожидает их со страхом. Обычно страхи его преувеличены, но уже устойчивы. Попытки успокоить успеха не имеют. Необходимо выяснить причины, которые привели к дезадаптации ребенка, и «устранить» их. Чаще всего до такого состояния доходят дети, от которых требуют отличной успеваемости, а они обладает только средними (иногда хорошими) интеллектуальными способностями. В этом случае надо, чтобы родители помогли ребенку с учебой, а не требовали. Попытки психолога преодолеть тревожность детей через постепенное приучение их к различ­ным пугающим ситуациям (методики последовательной десенсибилизации, «отыгрывания» напряжения и пр.) направлены на «лечение» симптомов и оставляют без внимания причины. Тренинги, направленные на повышение уверенности в себе, тоже не приносят пользы, если ситуация в школе и дома не меняется.
Повышенный уровень тревожности (зоны 4-5) может компенсировать недостаточную исполнительность ребенка (зоны 2-3). Неисполнительный ребенок будет стараться делать все вовремя и так, как от него требуют, опасаясь наказаний и неприятностей. Но если он будет уверен, что его не будут проверять или не смогут проконтролировать, то работа окажется несделанной.</t>
    </r>
  </si>
  <si>
    <r>
      <t xml:space="preserve">Высокая эмоциональная реактивность. </t>
    </r>
    <r>
      <rPr>
        <sz val="12"/>
        <color theme="1"/>
        <rFont val="Times New Roman"/>
        <family val="1"/>
        <charset val="204"/>
      </rPr>
      <t>Ребенок не может сдерживать своих реакций, характерны яркие внешние проявления: крики, слезы, истерики. Он может наговорить грубостей, а потом жалеть об этом. Эмоциональная реактивность может усиливаться при вступлении ребенка в подростковый возраст.</t>
    </r>
  </si>
  <si>
    <r>
      <t xml:space="preserve">Повышенная активность в общении. </t>
    </r>
    <r>
      <rPr>
        <sz val="12"/>
        <color theme="1"/>
        <rFont val="Times New Roman"/>
        <family val="1"/>
        <charset val="204"/>
      </rPr>
      <t>Ребенок стремится к новым знакомствам, легко меняет компании, обзаводится новыми «друзьями». Общение чаще поверхностное, отношения неглубокие. Проявляет инициативу при знакомстве и со взрослыми, легко разговаривает с ними на любые темы.</t>
    </r>
  </si>
  <si>
    <r>
      <t xml:space="preserve">Общение для ребенка выступает одной из главных жизненных потребностей. </t>
    </r>
    <r>
      <rPr>
        <sz val="12"/>
        <color theme="1"/>
        <rFont val="Times New Roman"/>
        <family val="1"/>
        <charset val="204"/>
      </rPr>
      <t>В школу он в основном ходит общаться. Ему не важно, о чем говорить, лишь бы разговаривать. Его телефонные разговоры могут длиться часами.</t>
    </r>
  </si>
  <si>
    <r>
      <t xml:space="preserve">Высокий уровень психического напряжения. </t>
    </r>
    <r>
      <rPr>
        <sz val="12"/>
        <color theme="1"/>
        <rFont val="Times New Roman"/>
        <family val="1"/>
        <charset val="204"/>
      </rPr>
      <t>Из-за высокой мотивации ребенок работает на пределе своих возможностей. Могут быть нервные и поведенческие срывы.</t>
    </r>
  </si>
  <si>
    <t>Проверка противоречия</t>
  </si>
  <si>
    <t>d меньше</t>
  </si>
  <si>
    <t>d больше</t>
  </si>
  <si>
    <t>Факторы</t>
  </si>
  <si>
    <t>Зона</t>
  </si>
  <si>
    <t>Исполнительность (G)</t>
  </si>
  <si>
    <t>Волевой самоконтроль (Q3)</t>
  </si>
  <si>
    <t>Активность (D, H, Q4)</t>
  </si>
  <si>
    <t>Самокритичность (Q5)</t>
  </si>
  <si>
    <t>Независимость (Е)</t>
  </si>
  <si>
    <t>Тревожность (О, Н, F)</t>
  </si>
  <si>
    <t>Эмоциональность ©</t>
  </si>
  <si>
    <t>Активность в общении (H F)</t>
  </si>
  <si>
    <t>Потребность в общении (А)</t>
  </si>
  <si>
    <t>Психическое напряжение (фактор Q4)</t>
  </si>
  <si>
    <t>Кетелла-Ясюковой, фактор А</t>
  </si>
  <si>
    <t>Кетелла-Ясюковой, фактор С</t>
  </si>
  <si>
    <t>Кетелла-Ясюковой, фактор Е</t>
  </si>
  <si>
    <t>Кетелла-Ясюковой, фактор G</t>
  </si>
  <si>
    <t>Кетелла-Ясюковой, фактор Н F</t>
  </si>
  <si>
    <t>Кетелла-Ясюковой, фактор O H F</t>
  </si>
  <si>
    <t>Кетелла-Ясюковой, фактор D H Q4</t>
  </si>
  <si>
    <t>Кетелла-Ясюковой, фактор Q3</t>
  </si>
  <si>
    <t>Кетелла-Ясюковой, фактор Q4</t>
  </si>
  <si>
    <t>Кетелла-Ясюковой, фактор Q5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</si>
</sst>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scheme val="minor"/>
    </font>
    <font>
      <sz val="16"/>
      <color theme="1"/>
      <name val="Calibri"/>
      <family val="2"/>
      <scheme val="minor"/>
    </font>
    <font>
      <sz val="11"/>
      <color theme="0"/>
      <name val="Calibri"/>
      <family val="2"/>
      <scheme val="minor"/>
    </font>
    <font>
      <sz val="16"/>
      <color theme="0"/>
      <name val="Calibri"/>
      <family val="2"/>
      <charset val="204"/>
      <scheme val="minor"/>
    </font>
    <font>
      <sz val="12"/>
      <color theme="1"/>
      <name val="Times New Roman"/>
      <family val="1"/>
      <charset val="204"/>
    </font>
    <font>
      <b/>
      <sz val="12"/>
      <color theme="1"/>
      <name val="Times New Roman"/>
      <family val="1"/>
      <charset val="204"/>
    </font>
    <font>
      <b/>
      <i/>
      <sz val="12"/>
      <color theme="1"/>
      <name val="Times New Roman"/>
      <family val="1"/>
      <charset val="204"/>
    </font>
    <font>
      <sz val="11"/>
      <color indexed="8"/>
      <name val="Calibri"/>
      <family val="2"/>
      <charset val="204"/>
    </font>
    <font>
      <sz val="10"/>
      <color indexed="8"/>
      <name val="Arial"/>
      <family val="2"/>
      <charset val="204"/>
    </font>
  </fonts>
  <fills count="4">
    <fill>
      <patternFill patternType="none"/>
    </fill>
    <fill>
      <patternFill patternType="gray125"/>
    </fill>
    <fill>
      <patternFill patternType="solid">
        <fgColor rgb="FF4F81B7"/>
        <bgColor indexed="64"/>
      </patternFill>
    </fill>
    <fill>
      <patternFill patternType="solid">
        <fgColor rgb="FF81AADC"/>
        <bgColor indexed="64"/>
      </patternFill>
    </fill>
  </fills>
  <borders count="1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3" fillId="0" borderId="0"/>
    <xf numFmtId="0" fontId="11" fillId="0" borderId="0"/>
  </cellStyleXfs>
  <cellXfs count="39">
    <xf numFmtId="0" fontId="0" fillId="0" borderId="0" xfId="0"/>
    <xf numFmtId="0" fontId="4" fillId="0" borderId="0" xfId="1" applyFont="1" applyAlignment="1">
      <alignment horizontal="center" vertical="center"/>
    </xf>
    <xf numFmtId="0" fontId="3" fillId="0" borderId="0" xfId="1" applyAlignment="1">
      <alignment horizontal="left" vertical="top" wrapText="1" indent="3"/>
    </xf>
    <xf numFmtId="0" fontId="3" fillId="0" borderId="0" xfId="1" applyAlignment="1">
      <alignment horizontal="center" vertical="top"/>
    </xf>
    <xf numFmtId="0" fontId="5" fillId="0" borderId="0" xfId="1" applyFont="1"/>
    <xf numFmtId="0" fontId="3" fillId="0" borderId="0" xfId="1"/>
    <xf numFmtId="0" fontId="6" fillId="2" borderId="1" xfId="1" applyFont="1" applyFill="1" applyBorder="1" applyAlignment="1">
      <alignment horizontal="left" vertical="top" wrapText="1" indent="3"/>
    </xf>
    <xf numFmtId="0" fontId="6" fillId="3" borderId="2" xfId="1" applyFont="1" applyFill="1" applyBorder="1" applyAlignment="1">
      <alignment horizontal="center" vertical="top" wrapText="1"/>
    </xf>
    <xf numFmtId="0" fontId="6" fillId="2" borderId="3" xfId="1" applyFont="1" applyFill="1" applyBorder="1" applyAlignment="1">
      <alignment horizontal="left" vertical="top" wrapText="1" indent="3"/>
    </xf>
    <xf numFmtId="0" fontId="7" fillId="0" borderId="0" xfId="1" applyFont="1" applyAlignment="1">
      <alignment horizontal="center" vertical="top"/>
    </xf>
    <xf numFmtId="0" fontId="2" fillId="0" borderId="4" xfId="1" applyFont="1" applyBorder="1"/>
    <xf numFmtId="0" fontId="2" fillId="0" borderId="0" xfId="1" applyFont="1"/>
    <xf numFmtId="0" fontId="2" fillId="0" borderId="5" xfId="1" applyFont="1" applyBorder="1"/>
    <xf numFmtId="0" fontId="3" fillId="0" borderId="6" xfId="1" applyBorder="1"/>
    <xf numFmtId="0" fontId="3" fillId="0" borderId="5" xfId="1" applyBorder="1"/>
    <xf numFmtId="0" fontId="8" fillId="0" borderId="0" xfId="1" applyFont="1"/>
    <xf numFmtId="0" fontId="8" fillId="0" borderId="0" xfId="1" applyFont="1" applyAlignment="1">
      <alignment horizontal="justify" vertical="center"/>
    </xf>
    <xf numFmtId="0" fontId="8" fillId="0" borderId="0" xfId="1" applyFont="1" applyAlignment="1">
      <alignment horizontal="justify" vertical="center" wrapText="1"/>
    </xf>
    <xf numFmtId="0" fontId="8" fillId="0" borderId="0" xfId="1" applyFont="1" applyAlignment="1">
      <alignment vertical="center"/>
    </xf>
    <xf numFmtId="0" fontId="7" fillId="0" borderId="0" xfId="1" applyFont="1" applyAlignment="1">
      <alignment horizontal="justify" vertical="center"/>
    </xf>
    <xf numFmtId="0" fontId="3" fillId="0" borderId="7" xfId="1" applyBorder="1"/>
    <xf numFmtId="0" fontId="3" fillId="0" borderId="8" xfId="1" applyBorder="1"/>
    <xf numFmtId="0" fontId="3" fillId="0" borderId="9" xfId="1" applyBorder="1"/>
    <xf numFmtId="0" fontId="3" fillId="0" borderId="4" xfId="1" applyBorder="1"/>
    <xf numFmtId="0" fontId="3" fillId="0" borderId="0" xfId="1" applyBorder="1"/>
    <xf numFmtId="0" fontId="3" fillId="0" borderId="10" xfId="1" applyBorder="1"/>
    <xf numFmtId="0" fontId="3" fillId="0" borderId="11" xfId="1" applyBorder="1"/>
    <xf numFmtId="0" fontId="3" fillId="0" borderId="12" xfId="1" applyBorder="1"/>
    <xf numFmtId="0" fontId="3" fillId="0" borderId="13" xfId="1" applyBorder="1"/>
    <xf numFmtId="0" fontId="3" fillId="0" borderId="0" xfId="1" applyFont="1" applyAlignment="1">
      <alignment wrapText="1"/>
    </xf>
    <xf numFmtId="0" fontId="7" fillId="0" borderId="0" xfId="1" applyFont="1" applyAlignment="1">
      <alignment wrapText="1"/>
    </xf>
    <xf numFmtId="0" fontId="7" fillId="0" borderId="0" xfId="1" applyFont="1" applyAlignment="1">
      <alignment horizontal="justify" vertical="center" wrapText="1"/>
    </xf>
    <xf numFmtId="0" fontId="9" fillId="0" borderId="0" xfId="1" applyFont="1"/>
    <xf numFmtId="0" fontId="9" fillId="0" borderId="0" xfId="1" applyFont="1" applyAlignment="1">
      <alignment vertical="center"/>
    </xf>
    <xf numFmtId="0" fontId="10" fillId="0" borderId="14" xfId="2" applyFont="1" applyFill="1" applyBorder="1" applyAlignment="1">
      <alignment horizontal="right" wrapText="1"/>
    </xf>
    <xf numFmtId="0" fontId="10" fillId="0" borderId="14" xfId="2" applyFont="1" applyFill="1" applyBorder="1" applyAlignment="1">
      <alignment wrapText="1"/>
    </xf>
    <xf numFmtId="0" fontId="7" fillId="0" borderId="0" xfId="1" applyFont="1"/>
    <xf numFmtId="0" fontId="7" fillId="0" borderId="0" xfId="1" applyFont="1" applyAlignment="1">
      <alignment vertical="center"/>
    </xf>
    <xf numFmtId="0" fontId="5" fillId="0" borderId="0" xfId="1" applyFont="1" applyProtection="1">
      <protection locked="0"/>
    </xf>
  </cellXfs>
  <cellStyles count="3">
    <cellStyle name="Normal" xfId="0" builtinId="0"/>
    <cellStyle name="Normal 2" xfId="1"/>
    <cellStyle name="Normal_Лист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E$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checked="Checked" firstButton="1" fmlaLink="$E$3"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E$4"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fmlaLink="$E$5"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E$6"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E$7"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E$8"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E$9"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E$10"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E$11"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E$12"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E$13"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E$14"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E$15"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E$16"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fmlaLink="$E$17"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E$18"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E$19"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E$20"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E$21"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E$22"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fmlaLink="$E$23"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E$24" lockText="1" noThreeD="1"/>
</file>

<file path=xl/ctrlProps/ctrlProp68.xml><?xml version="1.0" encoding="utf-8"?>
<formControlPr xmlns="http://schemas.microsoft.com/office/spreadsheetml/2009/9/main" objectType="Radio" lockText="1"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E$25"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checked="Checked" firstButton="1" fmlaLink="$E$26" lockText="1" noThreeD="1"/>
</file>

<file path=xl/ctrlProps/ctrlProp74.xml><?xml version="1.0" encoding="utf-8"?>
<formControlPr xmlns="http://schemas.microsoft.com/office/spreadsheetml/2009/9/main" objectType="Radio" lockText="1"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checked="Checked" firstButton="1" fmlaLink="$E$27"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E$28" lockText="1" noThreeD="1"/>
</file>

<file path=xl/ctrlProps/ctrlProp80.xml><?xml version="1.0" encoding="utf-8"?>
<formControlPr xmlns="http://schemas.microsoft.com/office/spreadsheetml/2009/9/main" objectType="Radio" lockText="1"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checked="Checked" firstButton="1" fmlaLink="$E$29"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E$30" lockText="1" noThreeD="1"/>
</file>

<file path=xl/ctrlProps/ctrlProp86.xml><?xml version="1.0" encoding="utf-8"?>
<formControlPr xmlns="http://schemas.microsoft.com/office/spreadsheetml/2009/9/main" objectType="Radio" lockText="1"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checked="Checked" firstButton="1" fmlaLink="$E$31"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checked="Checked" firstButton="1" fmlaLink="$E$32"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Radio" checked="Checked" firstButton="1" fmlaLink="$E$33"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checked="Checked" firstButton="1" fmlaLink="$E$34"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checked="Checked" firstButton="1" fmlaLink="$E$35"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checked="Checked" firstButton="1" fmlaLink="$E$36"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checked="Checked" firstButton="1" fmlaLink="$E$37"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checked="Checked" firstButton="1" fmlaLink="$E$38"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checked="Checked" firstButton="1" fmlaLink="$E$39"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checked="Checked" firstButton="1" fmlaLink="$E$40"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Radio" checked="Checked" firstButton="1" fmlaLink="$E$41"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fmlaLink="$E$4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E$43"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Radio" checked="Checked" firstButton="1" fmlaLink="$E$44" lockText="1" noThreeD="1"/>
</file>

<file path=xl/ctrlProps/ctrlProp128.xml><?xml version="1.0" encoding="utf-8"?>
<formControlPr xmlns="http://schemas.microsoft.com/office/spreadsheetml/2009/9/main" objectType="Radio" lockText="1"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Radio" checked="Checked" firstButton="1" fmlaLink="$E$45"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Radio" checked="Checked" firstButton="1" fmlaLink="$E$46" lockText="1" noThreeD="1"/>
</file>

<file path=xl/ctrlProps/ctrlProp134.xml><?xml version="1.0" encoding="utf-8"?>
<formControlPr xmlns="http://schemas.microsoft.com/office/spreadsheetml/2009/9/main" objectType="Radio" lockText="1"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Radio" checked="Checked" firstButton="1" fmlaLink="$E$47"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Radio" checked="Checked" firstButton="1" fmlaLink="$E$48"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Radio" checked="Checked" firstButton="1" fmlaLink="$E$49"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Radio" checked="Checked" firstButton="1" fmlaLink="$E$50" lockText="1" noThreeD="1"/>
</file>

<file path=xl/ctrlProps/ctrlProp146.xml><?xml version="1.0" encoding="utf-8"?>
<formControlPr xmlns="http://schemas.microsoft.com/office/spreadsheetml/2009/9/main" objectType="Radio" lockText="1"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Radio" checked="Checked" firstButton="1" fmlaLink="$E$51" lockText="1" noThreeD="1"/>
</file>

<file path=xl/ctrlProps/ctrlProp149.xml><?xml version="1.0" encoding="utf-8"?>
<formControlPr xmlns="http://schemas.microsoft.com/office/spreadsheetml/2009/9/main" objectType="Radio" lockText="1"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Radio" checked="Checked" firstButton="1" fmlaLink="$E$5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Radio" checked="Checked" firstButton="1" fmlaLink="$E$53"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Radio" checked="Checked" firstButton="1" fmlaLink="$E$54" lockText="1" noThreeD="1"/>
</file>

<file path=xl/ctrlProps/ctrlProp158.xml><?xml version="1.0" encoding="utf-8"?>
<formControlPr xmlns="http://schemas.microsoft.com/office/spreadsheetml/2009/9/main" objectType="Radio" lockText="1"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Radio" checked="Checked" firstButton="1" fmlaLink="$E$55"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Radio" checked="Checked" firstButton="1" fmlaLink="$E$56"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Radio" checked="Checked" firstButton="1" fmlaLink="$E$57"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Radio" checked="Checked" firstButton="1" fmlaLink="$E$58" lockText="1" noThreeD="1"/>
</file>

<file path=xl/ctrlProps/ctrlProp170.xml><?xml version="1.0" encoding="utf-8"?>
<formControlPr xmlns="http://schemas.microsoft.com/office/spreadsheetml/2009/9/main" objectType="Radio" lockText="1"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Radio" checked="Checked" firstButton="1" fmlaLink="$E$59" lockText="1" noThreeD="1"/>
</file>

<file path=xl/ctrlProps/ctrlProp173.xml><?xml version="1.0" encoding="utf-8"?>
<formControlPr xmlns="http://schemas.microsoft.com/office/spreadsheetml/2009/9/main" objectType="Radio" lockText="1"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Radio" checked="Checked" firstButton="1" fmlaLink="$E$60" lockText="1" noThreeD="1"/>
</file>

<file path=xl/ctrlProps/ctrlProp176.xml><?xml version="1.0" encoding="utf-8"?>
<formControlPr xmlns="http://schemas.microsoft.com/office/spreadsheetml/2009/9/main" objectType="Radio" lockText="1"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Radio" checked="Checked" firstButton="1" fmlaLink="$E$61" lockText="1" noThreeD="1"/>
</file>

<file path=xl/ctrlProps/ctrlProp179.xml><?xml version="1.0" encoding="utf-8"?>
<formControlPr xmlns="http://schemas.microsoft.com/office/spreadsheetml/2009/9/main" objectType="Radio" lockText="1"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1</xdr:col>
          <xdr:colOff>5667375</xdr:colOff>
          <xdr:row>1</xdr:row>
          <xdr:rowOff>790575</xdr:rowOff>
        </xdr:to>
        <xdr:sp macro="" textlink="">
          <xdr:nvSpPr>
            <xdr:cNvPr id="8193" name="Option Button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xdr:row>
          <xdr:rowOff>28575</xdr:rowOff>
        </xdr:from>
        <xdr:to>
          <xdr:col>4</xdr:col>
          <xdr:colOff>0</xdr:colOff>
          <xdr:row>1</xdr:row>
          <xdr:rowOff>800100</xdr:rowOff>
        </xdr:to>
        <xdr:sp macro="" textlink="">
          <xdr:nvSpPr>
            <xdr:cNvPr id="8194" name="Option Button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5</xdr:col>
          <xdr:colOff>19050</xdr:colOff>
          <xdr:row>1</xdr:row>
          <xdr:rowOff>800100</xdr:rowOff>
        </xdr:to>
        <xdr:sp macro="" textlink="">
          <xdr:nvSpPr>
            <xdr:cNvPr id="8195" name="Group Box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28575</xdr:rowOff>
        </xdr:from>
        <xdr:to>
          <xdr:col>1</xdr:col>
          <xdr:colOff>5667375</xdr:colOff>
          <xdr:row>2</xdr:row>
          <xdr:rowOff>809625</xdr:rowOff>
        </xdr:to>
        <xdr:sp macro="" textlink="">
          <xdr:nvSpPr>
            <xdr:cNvPr id="8196" name="Option Button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xdr:row>
          <xdr:rowOff>38100</xdr:rowOff>
        </xdr:from>
        <xdr:to>
          <xdr:col>4</xdr:col>
          <xdr:colOff>0</xdr:colOff>
          <xdr:row>3</xdr:row>
          <xdr:rowOff>0</xdr:rowOff>
        </xdr:to>
        <xdr:sp macro="" textlink="">
          <xdr:nvSpPr>
            <xdr:cNvPr id="8197" name="Option Button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5</xdr:col>
          <xdr:colOff>19050</xdr:colOff>
          <xdr:row>3</xdr:row>
          <xdr:rowOff>0</xdr:rowOff>
        </xdr:to>
        <xdr:sp macro="" textlink="">
          <xdr:nvSpPr>
            <xdr:cNvPr id="8198" name="Group Box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28575</xdr:rowOff>
        </xdr:from>
        <xdr:to>
          <xdr:col>1</xdr:col>
          <xdr:colOff>5667375</xdr:colOff>
          <xdr:row>3</xdr:row>
          <xdr:rowOff>800100</xdr:rowOff>
        </xdr:to>
        <xdr:sp macro="" textlink="">
          <xdr:nvSpPr>
            <xdr:cNvPr id="8199" name="Option Button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38100</xdr:rowOff>
        </xdr:from>
        <xdr:to>
          <xdr:col>4</xdr:col>
          <xdr:colOff>0</xdr:colOff>
          <xdr:row>3</xdr:row>
          <xdr:rowOff>809625</xdr:rowOff>
        </xdr:to>
        <xdr:sp macro="" textlink="">
          <xdr:nvSpPr>
            <xdr:cNvPr id="8200" name="Option Button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9525</xdr:rowOff>
        </xdr:from>
        <xdr:to>
          <xdr:col>5</xdr:col>
          <xdr:colOff>19050</xdr:colOff>
          <xdr:row>3</xdr:row>
          <xdr:rowOff>809625</xdr:rowOff>
        </xdr:to>
        <xdr:sp macro="" textlink="">
          <xdr:nvSpPr>
            <xdr:cNvPr id="8201" name="Group Box 9" hidden="1">
              <a:extLst>
                <a:ext uri="{63B3BB69-23CF-44E3-9099-C40C66FF867C}">
                  <a14:compatExt spid="_x0000_s820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28575</xdr:rowOff>
        </xdr:from>
        <xdr:to>
          <xdr:col>1</xdr:col>
          <xdr:colOff>5667375</xdr:colOff>
          <xdr:row>4</xdr:row>
          <xdr:rowOff>809625</xdr:rowOff>
        </xdr:to>
        <xdr:sp macro="" textlink="">
          <xdr:nvSpPr>
            <xdr:cNvPr id="8202" name="Option Button 10" hidden="1">
              <a:extLst>
                <a:ext uri="{63B3BB69-23CF-44E3-9099-C40C66FF867C}">
                  <a14:compatExt spid="_x0000_s82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38100</xdr:rowOff>
        </xdr:from>
        <xdr:to>
          <xdr:col>4</xdr:col>
          <xdr:colOff>0</xdr:colOff>
          <xdr:row>5</xdr:row>
          <xdr:rowOff>0</xdr:rowOff>
        </xdr:to>
        <xdr:sp macro="" textlink="">
          <xdr:nvSpPr>
            <xdr:cNvPr id="8203" name="Option Button 11" hidden="1">
              <a:extLst>
                <a:ext uri="{63B3BB69-23CF-44E3-9099-C40C66FF867C}">
                  <a14:compatExt spid="_x0000_s82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9525</xdr:rowOff>
        </xdr:from>
        <xdr:to>
          <xdr:col>5</xdr:col>
          <xdr:colOff>19050</xdr:colOff>
          <xdr:row>5</xdr:row>
          <xdr:rowOff>0</xdr:rowOff>
        </xdr:to>
        <xdr:sp macro="" textlink="">
          <xdr:nvSpPr>
            <xdr:cNvPr id="8204" name="Group Box 12" hidden="1">
              <a:extLst>
                <a:ext uri="{63B3BB69-23CF-44E3-9099-C40C66FF867C}">
                  <a14:compatExt spid="_x0000_s820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28575</xdr:rowOff>
        </xdr:from>
        <xdr:to>
          <xdr:col>1</xdr:col>
          <xdr:colOff>5676900</xdr:colOff>
          <xdr:row>5</xdr:row>
          <xdr:rowOff>800100</xdr:rowOff>
        </xdr:to>
        <xdr:sp macro="" textlink="">
          <xdr:nvSpPr>
            <xdr:cNvPr id="8205" name="Option Button 13" hidden="1">
              <a:extLst>
                <a:ext uri="{63B3BB69-23CF-44E3-9099-C40C66FF867C}">
                  <a14:compatExt spid="_x0000_s82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xdr:row>
          <xdr:rowOff>38100</xdr:rowOff>
        </xdr:from>
        <xdr:to>
          <xdr:col>5</xdr:col>
          <xdr:colOff>9525</xdr:colOff>
          <xdr:row>5</xdr:row>
          <xdr:rowOff>809625</xdr:rowOff>
        </xdr:to>
        <xdr:sp macro="" textlink="">
          <xdr:nvSpPr>
            <xdr:cNvPr id="8206" name="Option Button 14" hidden="1">
              <a:extLst>
                <a:ext uri="{63B3BB69-23CF-44E3-9099-C40C66FF867C}">
                  <a14:compatExt spid="_x0000_s82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9525</xdr:rowOff>
        </xdr:from>
        <xdr:to>
          <xdr:col>5</xdr:col>
          <xdr:colOff>28575</xdr:colOff>
          <xdr:row>5</xdr:row>
          <xdr:rowOff>809625</xdr:rowOff>
        </xdr:to>
        <xdr:sp macro="" textlink="">
          <xdr:nvSpPr>
            <xdr:cNvPr id="8207" name="Group Box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28575</xdr:rowOff>
        </xdr:from>
        <xdr:to>
          <xdr:col>1</xdr:col>
          <xdr:colOff>5667375</xdr:colOff>
          <xdr:row>6</xdr:row>
          <xdr:rowOff>800100</xdr:rowOff>
        </xdr:to>
        <xdr:sp macro="" textlink="">
          <xdr:nvSpPr>
            <xdr:cNvPr id="8208" name="Option Button 16" hidden="1">
              <a:extLst>
                <a:ext uri="{63B3BB69-23CF-44E3-9099-C40C66FF867C}">
                  <a14:compatExt spid="_x0000_s82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xdr:row>
          <xdr:rowOff>38100</xdr:rowOff>
        </xdr:from>
        <xdr:to>
          <xdr:col>4</xdr:col>
          <xdr:colOff>0</xdr:colOff>
          <xdr:row>6</xdr:row>
          <xdr:rowOff>809625</xdr:rowOff>
        </xdr:to>
        <xdr:sp macro="" textlink="">
          <xdr:nvSpPr>
            <xdr:cNvPr id="8209" name="Option Button 17" hidden="1">
              <a:extLst>
                <a:ext uri="{63B3BB69-23CF-44E3-9099-C40C66FF867C}">
                  <a14:compatExt spid="_x0000_s82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xdr:row>
          <xdr:rowOff>9525</xdr:rowOff>
        </xdr:from>
        <xdr:to>
          <xdr:col>5</xdr:col>
          <xdr:colOff>19050</xdr:colOff>
          <xdr:row>6</xdr:row>
          <xdr:rowOff>809625</xdr:rowOff>
        </xdr:to>
        <xdr:sp macro="" textlink="">
          <xdr:nvSpPr>
            <xdr:cNvPr id="8210" name="Group Box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38100</xdr:rowOff>
        </xdr:from>
        <xdr:to>
          <xdr:col>1</xdr:col>
          <xdr:colOff>5667375</xdr:colOff>
          <xdr:row>7</xdr:row>
          <xdr:rowOff>809625</xdr:rowOff>
        </xdr:to>
        <xdr:sp macro="" textlink="">
          <xdr:nvSpPr>
            <xdr:cNvPr id="8211" name="Option Button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xdr:row>
          <xdr:rowOff>47625</xdr:rowOff>
        </xdr:from>
        <xdr:to>
          <xdr:col>4</xdr:col>
          <xdr:colOff>0</xdr:colOff>
          <xdr:row>8</xdr:row>
          <xdr:rowOff>0</xdr:rowOff>
        </xdr:to>
        <xdr:sp macro="" textlink="">
          <xdr:nvSpPr>
            <xdr:cNvPr id="8212" name="Option Button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xdr:rowOff>
        </xdr:from>
        <xdr:to>
          <xdr:col>5</xdr:col>
          <xdr:colOff>19050</xdr:colOff>
          <xdr:row>8</xdr:row>
          <xdr:rowOff>0</xdr:rowOff>
        </xdr:to>
        <xdr:sp macro="" textlink="">
          <xdr:nvSpPr>
            <xdr:cNvPr id="8213" name="Group Box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28575</xdr:rowOff>
        </xdr:from>
        <xdr:to>
          <xdr:col>1</xdr:col>
          <xdr:colOff>5667375</xdr:colOff>
          <xdr:row>8</xdr:row>
          <xdr:rowOff>800100</xdr:rowOff>
        </xdr:to>
        <xdr:sp macro="" textlink="">
          <xdr:nvSpPr>
            <xdr:cNvPr id="8214" name="Option Button 22" hidden="1">
              <a:extLst>
                <a:ext uri="{63B3BB69-23CF-44E3-9099-C40C66FF867C}">
                  <a14:compatExt spid="_x0000_s82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xdr:row>
          <xdr:rowOff>38100</xdr:rowOff>
        </xdr:from>
        <xdr:to>
          <xdr:col>4</xdr:col>
          <xdr:colOff>0</xdr:colOff>
          <xdr:row>8</xdr:row>
          <xdr:rowOff>809625</xdr:rowOff>
        </xdr:to>
        <xdr:sp macro="" textlink="">
          <xdr:nvSpPr>
            <xdr:cNvPr id="8215" name="Option Button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9525</xdr:rowOff>
        </xdr:from>
        <xdr:to>
          <xdr:col>5</xdr:col>
          <xdr:colOff>19050</xdr:colOff>
          <xdr:row>8</xdr:row>
          <xdr:rowOff>809625</xdr:rowOff>
        </xdr:to>
        <xdr:sp macro="" textlink="">
          <xdr:nvSpPr>
            <xdr:cNvPr id="8216" name="Group Box 24" hidden="1">
              <a:extLst>
                <a:ext uri="{63B3BB69-23CF-44E3-9099-C40C66FF867C}">
                  <a14:compatExt spid="_x0000_s821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1</xdr:col>
          <xdr:colOff>5667375</xdr:colOff>
          <xdr:row>9</xdr:row>
          <xdr:rowOff>800100</xdr:rowOff>
        </xdr:to>
        <xdr:sp macro="" textlink="">
          <xdr:nvSpPr>
            <xdr:cNvPr id="8217" name="Option Button 25" hidden="1">
              <a:extLst>
                <a:ext uri="{63B3BB69-23CF-44E3-9099-C40C66FF867C}">
                  <a14:compatExt spid="_x0000_s8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38100</xdr:rowOff>
        </xdr:from>
        <xdr:to>
          <xdr:col>4</xdr:col>
          <xdr:colOff>0</xdr:colOff>
          <xdr:row>9</xdr:row>
          <xdr:rowOff>809625</xdr:rowOff>
        </xdr:to>
        <xdr:sp macro="" textlink="">
          <xdr:nvSpPr>
            <xdr:cNvPr id="8218" name="Option Button 26" hidden="1">
              <a:extLst>
                <a:ext uri="{63B3BB69-23CF-44E3-9099-C40C66FF867C}">
                  <a14:compatExt spid="_x0000_s8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9525</xdr:rowOff>
        </xdr:from>
        <xdr:to>
          <xdr:col>5</xdr:col>
          <xdr:colOff>19050</xdr:colOff>
          <xdr:row>9</xdr:row>
          <xdr:rowOff>809625</xdr:rowOff>
        </xdr:to>
        <xdr:sp macro="" textlink="">
          <xdr:nvSpPr>
            <xdr:cNvPr id="8219" name="Group Box 27" hidden="1">
              <a:extLst>
                <a:ext uri="{63B3BB69-23CF-44E3-9099-C40C66FF867C}">
                  <a14:compatExt spid="_x0000_s821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19050</xdr:rowOff>
        </xdr:from>
        <xdr:to>
          <xdr:col>1</xdr:col>
          <xdr:colOff>5667375</xdr:colOff>
          <xdr:row>10</xdr:row>
          <xdr:rowOff>790575</xdr:rowOff>
        </xdr:to>
        <xdr:sp macro="" textlink="">
          <xdr:nvSpPr>
            <xdr:cNvPr id="8220" name="Option Button 28" hidden="1">
              <a:extLst>
                <a:ext uri="{63B3BB69-23CF-44E3-9099-C40C66FF867C}">
                  <a14:compatExt spid="_x0000_s82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10</xdr:row>
          <xdr:rowOff>28575</xdr:rowOff>
        </xdr:from>
        <xdr:to>
          <xdr:col>4</xdr:col>
          <xdr:colOff>0</xdr:colOff>
          <xdr:row>10</xdr:row>
          <xdr:rowOff>800100</xdr:rowOff>
        </xdr:to>
        <xdr:sp macro="" textlink="">
          <xdr:nvSpPr>
            <xdr:cNvPr id="8221" name="Option Button 29" hidden="1">
              <a:extLst>
                <a:ext uri="{63B3BB69-23CF-44E3-9099-C40C66FF867C}">
                  <a14:compatExt spid="_x0000_s82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0</xdr:rowOff>
        </xdr:from>
        <xdr:to>
          <xdr:col>5</xdr:col>
          <xdr:colOff>19050</xdr:colOff>
          <xdr:row>10</xdr:row>
          <xdr:rowOff>800100</xdr:rowOff>
        </xdr:to>
        <xdr:sp macro="" textlink="">
          <xdr:nvSpPr>
            <xdr:cNvPr id="8222" name="Group Box 30" hidden="1">
              <a:extLst>
                <a:ext uri="{63B3BB69-23CF-44E3-9099-C40C66FF867C}">
                  <a14:compatExt spid="_x0000_s822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38100</xdr:rowOff>
        </xdr:from>
        <xdr:to>
          <xdr:col>1</xdr:col>
          <xdr:colOff>5667375</xdr:colOff>
          <xdr:row>11</xdr:row>
          <xdr:rowOff>809625</xdr:rowOff>
        </xdr:to>
        <xdr:sp macro="" textlink="">
          <xdr:nvSpPr>
            <xdr:cNvPr id="8223" name="Option Button 31" hidden="1">
              <a:extLst>
                <a:ext uri="{63B3BB69-23CF-44E3-9099-C40C66FF867C}">
                  <a14:compatExt spid="_x0000_s82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11</xdr:row>
          <xdr:rowOff>47625</xdr:rowOff>
        </xdr:from>
        <xdr:to>
          <xdr:col>4</xdr:col>
          <xdr:colOff>0</xdr:colOff>
          <xdr:row>12</xdr:row>
          <xdr:rowOff>0</xdr:rowOff>
        </xdr:to>
        <xdr:sp macro="" textlink="">
          <xdr:nvSpPr>
            <xdr:cNvPr id="8224" name="Option Button 32" hidden="1">
              <a:extLst>
                <a:ext uri="{63B3BB69-23CF-44E3-9099-C40C66FF867C}">
                  <a14:compatExt spid="_x0000_s82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19050</xdr:rowOff>
        </xdr:from>
        <xdr:to>
          <xdr:col>5</xdr:col>
          <xdr:colOff>19050</xdr:colOff>
          <xdr:row>12</xdr:row>
          <xdr:rowOff>0</xdr:rowOff>
        </xdr:to>
        <xdr:sp macro="" textlink="">
          <xdr:nvSpPr>
            <xdr:cNvPr id="8225" name="Group Box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47625</xdr:rowOff>
        </xdr:from>
        <xdr:to>
          <xdr:col>1</xdr:col>
          <xdr:colOff>5667375</xdr:colOff>
          <xdr:row>13</xdr:row>
          <xdr:rowOff>9525</xdr:rowOff>
        </xdr:to>
        <xdr:sp macro="" textlink="">
          <xdr:nvSpPr>
            <xdr:cNvPr id="8226" name="Option Button 34" hidden="1">
              <a:extLst>
                <a:ext uri="{63B3BB69-23CF-44E3-9099-C40C66FF867C}">
                  <a14:compatExt spid="_x0000_s82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12</xdr:row>
          <xdr:rowOff>57150</xdr:rowOff>
        </xdr:from>
        <xdr:to>
          <xdr:col>4</xdr:col>
          <xdr:colOff>0</xdr:colOff>
          <xdr:row>13</xdr:row>
          <xdr:rowOff>19050</xdr:rowOff>
        </xdr:to>
        <xdr:sp macro="" textlink="">
          <xdr:nvSpPr>
            <xdr:cNvPr id="8227" name="Option Button 35" hidden="1">
              <a:extLst>
                <a:ext uri="{63B3BB69-23CF-44E3-9099-C40C66FF867C}">
                  <a14:compatExt spid="_x0000_s82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28575</xdr:rowOff>
        </xdr:from>
        <xdr:to>
          <xdr:col>5</xdr:col>
          <xdr:colOff>19050</xdr:colOff>
          <xdr:row>13</xdr:row>
          <xdr:rowOff>19050</xdr:rowOff>
        </xdr:to>
        <xdr:sp macro="" textlink="">
          <xdr:nvSpPr>
            <xdr:cNvPr id="8228" name="Group Box 36" hidden="1">
              <a:extLst>
                <a:ext uri="{63B3BB69-23CF-44E3-9099-C40C66FF867C}">
                  <a14:compatExt spid="_x0000_s822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13</xdr:row>
          <xdr:rowOff>47625</xdr:rowOff>
        </xdr:from>
        <xdr:to>
          <xdr:col>1</xdr:col>
          <xdr:colOff>5667375</xdr:colOff>
          <xdr:row>14</xdr:row>
          <xdr:rowOff>0</xdr:rowOff>
        </xdr:to>
        <xdr:sp macro="" textlink="">
          <xdr:nvSpPr>
            <xdr:cNvPr id="8229" name="Option Button 37" hidden="1">
              <a:extLst>
                <a:ext uri="{63B3BB69-23CF-44E3-9099-C40C66FF867C}">
                  <a14:compatExt spid="_x0000_s82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13</xdr:row>
          <xdr:rowOff>57150</xdr:rowOff>
        </xdr:from>
        <xdr:to>
          <xdr:col>4</xdr:col>
          <xdr:colOff>0</xdr:colOff>
          <xdr:row>14</xdr:row>
          <xdr:rowOff>9525</xdr:rowOff>
        </xdr:to>
        <xdr:sp macro="" textlink="">
          <xdr:nvSpPr>
            <xdr:cNvPr id="8230" name="Option Button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13</xdr:row>
          <xdr:rowOff>28575</xdr:rowOff>
        </xdr:from>
        <xdr:to>
          <xdr:col>5</xdr:col>
          <xdr:colOff>19050</xdr:colOff>
          <xdr:row>14</xdr:row>
          <xdr:rowOff>9525</xdr:rowOff>
        </xdr:to>
        <xdr:sp macro="" textlink="">
          <xdr:nvSpPr>
            <xdr:cNvPr id="8231" name="Group Box 39" hidden="1">
              <a:extLst>
                <a:ext uri="{63B3BB69-23CF-44E3-9099-C40C66FF867C}">
                  <a14:compatExt spid="_x0000_s823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14</xdr:row>
          <xdr:rowOff>47625</xdr:rowOff>
        </xdr:from>
        <xdr:to>
          <xdr:col>1</xdr:col>
          <xdr:colOff>5667375</xdr:colOff>
          <xdr:row>15</xdr:row>
          <xdr:rowOff>9525</xdr:rowOff>
        </xdr:to>
        <xdr:sp macro="" textlink="">
          <xdr:nvSpPr>
            <xdr:cNvPr id="8232" name="Option Button 40" hidden="1">
              <a:extLst>
                <a:ext uri="{63B3BB69-23CF-44E3-9099-C40C66FF867C}">
                  <a14:compatExt spid="_x0000_s82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14</xdr:row>
          <xdr:rowOff>57150</xdr:rowOff>
        </xdr:from>
        <xdr:to>
          <xdr:col>4</xdr:col>
          <xdr:colOff>0</xdr:colOff>
          <xdr:row>15</xdr:row>
          <xdr:rowOff>19050</xdr:rowOff>
        </xdr:to>
        <xdr:sp macro="" textlink="">
          <xdr:nvSpPr>
            <xdr:cNvPr id="8233" name="Option Button 41" hidden="1">
              <a:extLst>
                <a:ext uri="{63B3BB69-23CF-44E3-9099-C40C66FF867C}">
                  <a14:compatExt spid="_x0000_s82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14</xdr:row>
          <xdr:rowOff>28575</xdr:rowOff>
        </xdr:from>
        <xdr:to>
          <xdr:col>5</xdr:col>
          <xdr:colOff>19050</xdr:colOff>
          <xdr:row>15</xdr:row>
          <xdr:rowOff>19050</xdr:rowOff>
        </xdr:to>
        <xdr:sp macro="" textlink="">
          <xdr:nvSpPr>
            <xdr:cNvPr id="8234" name="Group Box 42" hidden="1">
              <a:extLst>
                <a:ext uri="{63B3BB69-23CF-44E3-9099-C40C66FF867C}">
                  <a14:compatExt spid="_x0000_s82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47625</xdr:rowOff>
        </xdr:from>
        <xdr:to>
          <xdr:col>1</xdr:col>
          <xdr:colOff>5676900</xdr:colOff>
          <xdr:row>16</xdr:row>
          <xdr:rowOff>0</xdr:rowOff>
        </xdr:to>
        <xdr:sp macro="" textlink="">
          <xdr:nvSpPr>
            <xdr:cNvPr id="8235" name="Option Button 43" hidden="1">
              <a:extLst>
                <a:ext uri="{63B3BB69-23CF-44E3-9099-C40C66FF867C}">
                  <a14:compatExt spid="_x0000_s82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57150</xdr:rowOff>
        </xdr:from>
        <xdr:to>
          <xdr:col>5</xdr:col>
          <xdr:colOff>9525</xdr:colOff>
          <xdr:row>16</xdr:row>
          <xdr:rowOff>9525</xdr:rowOff>
        </xdr:to>
        <xdr:sp macro="" textlink="">
          <xdr:nvSpPr>
            <xdr:cNvPr id="8236" name="Option Button 44" hidden="1">
              <a:extLst>
                <a:ext uri="{63B3BB69-23CF-44E3-9099-C40C66FF867C}">
                  <a14:compatExt spid="_x0000_s82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28575</xdr:rowOff>
        </xdr:from>
        <xdr:to>
          <xdr:col>5</xdr:col>
          <xdr:colOff>28575</xdr:colOff>
          <xdr:row>16</xdr:row>
          <xdr:rowOff>9525</xdr:rowOff>
        </xdr:to>
        <xdr:sp macro="" textlink="">
          <xdr:nvSpPr>
            <xdr:cNvPr id="8237" name="Group Box 45" hidden="1">
              <a:extLst>
                <a:ext uri="{63B3BB69-23CF-44E3-9099-C40C66FF867C}">
                  <a14:compatExt spid="_x0000_s823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16</xdr:row>
          <xdr:rowOff>47625</xdr:rowOff>
        </xdr:from>
        <xdr:to>
          <xdr:col>1</xdr:col>
          <xdr:colOff>5667375</xdr:colOff>
          <xdr:row>17</xdr:row>
          <xdr:rowOff>0</xdr:rowOff>
        </xdr:to>
        <xdr:sp macro="" textlink="">
          <xdr:nvSpPr>
            <xdr:cNvPr id="8238" name="Option Button 46" hidden="1">
              <a:extLst>
                <a:ext uri="{63B3BB69-23CF-44E3-9099-C40C66FF867C}">
                  <a14:compatExt spid="_x0000_s82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16</xdr:row>
          <xdr:rowOff>57150</xdr:rowOff>
        </xdr:from>
        <xdr:to>
          <xdr:col>4</xdr:col>
          <xdr:colOff>0</xdr:colOff>
          <xdr:row>17</xdr:row>
          <xdr:rowOff>9525</xdr:rowOff>
        </xdr:to>
        <xdr:sp macro="" textlink="">
          <xdr:nvSpPr>
            <xdr:cNvPr id="8239" name="Option Button 47" hidden="1">
              <a:extLst>
                <a:ext uri="{63B3BB69-23CF-44E3-9099-C40C66FF867C}">
                  <a14:compatExt spid="_x0000_s82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16</xdr:row>
          <xdr:rowOff>28575</xdr:rowOff>
        </xdr:from>
        <xdr:to>
          <xdr:col>5</xdr:col>
          <xdr:colOff>19050</xdr:colOff>
          <xdr:row>17</xdr:row>
          <xdr:rowOff>9525</xdr:rowOff>
        </xdr:to>
        <xdr:sp macro="" textlink="">
          <xdr:nvSpPr>
            <xdr:cNvPr id="8240" name="Group Box 48" hidden="1">
              <a:extLst>
                <a:ext uri="{63B3BB69-23CF-44E3-9099-C40C66FF867C}">
                  <a14:compatExt spid="_x0000_s824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57150</xdr:rowOff>
        </xdr:from>
        <xdr:to>
          <xdr:col>1</xdr:col>
          <xdr:colOff>5667375</xdr:colOff>
          <xdr:row>18</xdr:row>
          <xdr:rowOff>9525</xdr:rowOff>
        </xdr:to>
        <xdr:sp macro="" textlink="">
          <xdr:nvSpPr>
            <xdr:cNvPr id="8241" name="Option Button 49" hidden="1">
              <a:extLst>
                <a:ext uri="{63B3BB69-23CF-44E3-9099-C40C66FF867C}">
                  <a14:compatExt spid="_x0000_s8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17</xdr:row>
          <xdr:rowOff>66675</xdr:rowOff>
        </xdr:from>
        <xdr:to>
          <xdr:col>4</xdr:col>
          <xdr:colOff>0</xdr:colOff>
          <xdr:row>18</xdr:row>
          <xdr:rowOff>19050</xdr:rowOff>
        </xdr:to>
        <xdr:sp macro="" textlink="">
          <xdr:nvSpPr>
            <xdr:cNvPr id="8242" name="Option Button 50" hidden="1">
              <a:extLst>
                <a:ext uri="{63B3BB69-23CF-44E3-9099-C40C66FF867C}">
                  <a14:compatExt spid="_x0000_s8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17</xdr:row>
          <xdr:rowOff>38100</xdr:rowOff>
        </xdr:from>
        <xdr:to>
          <xdr:col>5</xdr:col>
          <xdr:colOff>19050</xdr:colOff>
          <xdr:row>18</xdr:row>
          <xdr:rowOff>19050</xdr:rowOff>
        </xdr:to>
        <xdr:sp macro="" textlink="">
          <xdr:nvSpPr>
            <xdr:cNvPr id="8243" name="Group Box 51" hidden="1">
              <a:extLst>
                <a:ext uri="{63B3BB69-23CF-44E3-9099-C40C66FF867C}">
                  <a14:compatExt spid="_x0000_s824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47625</xdr:rowOff>
        </xdr:from>
        <xdr:to>
          <xdr:col>1</xdr:col>
          <xdr:colOff>5667375</xdr:colOff>
          <xdr:row>19</xdr:row>
          <xdr:rowOff>0</xdr:rowOff>
        </xdr:to>
        <xdr:sp macro="" textlink="">
          <xdr:nvSpPr>
            <xdr:cNvPr id="8244" name="Option Button 52" hidden="1">
              <a:extLst>
                <a:ext uri="{63B3BB69-23CF-44E3-9099-C40C66FF867C}">
                  <a14:compatExt spid="_x0000_s82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18</xdr:row>
          <xdr:rowOff>57150</xdr:rowOff>
        </xdr:from>
        <xdr:to>
          <xdr:col>4</xdr:col>
          <xdr:colOff>0</xdr:colOff>
          <xdr:row>19</xdr:row>
          <xdr:rowOff>9525</xdr:rowOff>
        </xdr:to>
        <xdr:sp macro="" textlink="">
          <xdr:nvSpPr>
            <xdr:cNvPr id="8245" name="Option Button 53" hidden="1">
              <a:extLst>
                <a:ext uri="{63B3BB69-23CF-44E3-9099-C40C66FF867C}">
                  <a14:compatExt spid="_x0000_s82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28575</xdr:rowOff>
        </xdr:from>
        <xdr:to>
          <xdr:col>5</xdr:col>
          <xdr:colOff>19050</xdr:colOff>
          <xdr:row>19</xdr:row>
          <xdr:rowOff>9525</xdr:rowOff>
        </xdr:to>
        <xdr:sp macro="" textlink="">
          <xdr:nvSpPr>
            <xdr:cNvPr id="8246" name="Group Box 54" hidden="1">
              <a:extLst>
                <a:ext uri="{63B3BB69-23CF-44E3-9099-C40C66FF867C}">
                  <a14:compatExt spid="_x0000_s824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47625</xdr:rowOff>
        </xdr:from>
        <xdr:to>
          <xdr:col>1</xdr:col>
          <xdr:colOff>5667375</xdr:colOff>
          <xdr:row>20</xdr:row>
          <xdr:rowOff>0</xdr:rowOff>
        </xdr:to>
        <xdr:sp macro="" textlink="">
          <xdr:nvSpPr>
            <xdr:cNvPr id="8247" name="Option Button 55" hidden="1">
              <a:extLst>
                <a:ext uri="{63B3BB69-23CF-44E3-9099-C40C66FF867C}">
                  <a14:compatExt spid="_x0000_s82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19</xdr:row>
          <xdr:rowOff>57150</xdr:rowOff>
        </xdr:from>
        <xdr:to>
          <xdr:col>4</xdr:col>
          <xdr:colOff>0</xdr:colOff>
          <xdr:row>20</xdr:row>
          <xdr:rowOff>9525</xdr:rowOff>
        </xdr:to>
        <xdr:sp macro="" textlink="">
          <xdr:nvSpPr>
            <xdr:cNvPr id="8248" name="Option Button 56" hidden="1">
              <a:extLst>
                <a:ext uri="{63B3BB69-23CF-44E3-9099-C40C66FF867C}">
                  <a14:compatExt spid="_x0000_s82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28575</xdr:rowOff>
        </xdr:from>
        <xdr:to>
          <xdr:col>5</xdr:col>
          <xdr:colOff>19050</xdr:colOff>
          <xdr:row>20</xdr:row>
          <xdr:rowOff>9525</xdr:rowOff>
        </xdr:to>
        <xdr:sp macro="" textlink="">
          <xdr:nvSpPr>
            <xdr:cNvPr id="8249" name="Group Box 57" hidden="1">
              <a:extLst>
                <a:ext uri="{63B3BB69-23CF-44E3-9099-C40C66FF867C}">
                  <a14:compatExt spid="_x0000_s82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38100</xdr:rowOff>
        </xdr:from>
        <xdr:to>
          <xdr:col>1</xdr:col>
          <xdr:colOff>5667375</xdr:colOff>
          <xdr:row>20</xdr:row>
          <xdr:rowOff>809625</xdr:rowOff>
        </xdr:to>
        <xdr:sp macro="" textlink="">
          <xdr:nvSpPr>
            <xdr:cNvPr id="8250" name="Option Button 58" hidden="1">
              <a:extLst>
                <a:ext uri="{63B3BB69-23CF-44E3-9099-C40C66FF867C}">
                  <a14:compatExt spid="_x0000_s8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20</xdr:row>
          <xdr:rowOff>47625</xdr:rowOff>
        </xdr:from>
        <xdr:to>
          <xdr:col>4</xdr:col>
          <xdr:colOff>0</xdr:colOff>
          <xdr:row>21</xdr:row>
          <xdr:rowOff>0</xdr:rowOff>
        </xdr:to>
        <xdr:sp macro="" textlink="">
          <xdr:nvSpPr>
            <xdr:cNvPr id="8251" name="Option Button 59" hidden="1">
              <a:extLst>
                <a:ext uri="{63B3BB69-23CF-44E3-9099-C40C66FF867C}">
                  <a14:compatExt spid="_x0000_s8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19050</xdr:rowOff>
        </xdr:from>
        <xdr:to>
          <xdr:col>5</xdr:col>
          <xdr:colOff>19050</xdr:colOff>
          <xdr:row>21</xdr:row>
          <xdr:rowOff>0</xdr:rowOff>
        </xdr:to>
        <xdr:sp macro="" textlink="">
          <xdr:nvSpPr>
            <xdr:cNvPr id="8252" name="Group Box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19050</xdr:rowOff>
        </xdr:from>
        <xdr:to>
          <xdr:col>1</xdr:col>
          <xdr:colOff>5667375</xdr:colOff>
          <xdr:row>21</xdr:row>
          <xdr:rowOff>790575</xdr:rowOff>
        </xdr:to>
        <xdr:sp macro="" textlink="">
          <xdr:nvSpPr>
            <xdr:cNvPr id="8253" name="Option Button 61" hidden="1">
              <a:extLst>
                <a:ext uri="{63B3BB69-23CF-44E3-9099-C40C66FF867C}">
                  <a14:compatExt spid="_x0000_s8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21</xdr:row>
          <xdr:rowOff>28575</xdr:rowOff>
        </xdr:from>
        <xdr:to>
          <xdr:col>4</xdr:col>
          <xdr:colOff>0</xdr:colOff>
          <xdr:row>21</xdr:row>
          <xdr:rowOff>800100</xdr:rowOff>
        </xdr:to>
        <xdr:sp macro="" textlink="">
          <xdr:nvSpPr>
            <xdr:cNvPr id="8254" name="Option Button 62" hidden="1">
              <a:extLst>
                <a:ext uri="{63B3BB69-23CF-44E3-9099-C40C66FF867C}">
                  <a14:compatExt spid="_x0000_s8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0</xdr:rowOff>
        </xdr:from>
        <xdr:to>
          <xdr:col>5</xdr:col>
          <xdr:colOff>19050</xdr:colOff>
          <xdr:row>21</xdr:row>
          <xdr:rowOff>800100</xdr:rowOff>
        </xdr:to>
        <xdr:sp macro="" textlink="">
          <xdr:nvSpPr>
            <xdr:cNvPr id="8255" name="Group Box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22</xdr:row>
          <xdr:rowOff>28575</xdr:rowOff>
        </xdr:from>
        <xdr:to>
          <xdr:col>1</xdr:col>
          <xdr:colOff>5667375</xdr:colOff>
          <xdr:row>22</xdr:row>
          <xdr:rowOff>809625</xdr:rowOff>
        </xdr:to>
        <xdr:sp macro="" textlink="">
          <xdr:nvSpPr>
            <xdr:cNvPr id="8256" name="Option Button 64" hidden="1">
              <a:extLst>
                <a:ext uri="{63B3BB69-23CF-44E3-9099-C40C66FF867C}">
                  <a14:compatExt spid="_x0000_s8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22</xdr:row>
          <xdr:rowOff>38100</xdr:rowOff>
        </xdr:from>
        <xdr:to>
          <xdr:col>4</xdr:col>
          <xdr:colOff>0</xdr:colOff>
          <xdr:row>23</xdr:row>
          <xdr:rowOff>0</xdr:rowOff>
        </xdr:to>
        <xdr:sp macro="" textlink="">
          <xdr:nvSpPr>
            <xdr:cNvPr id="8257" name="Option Button 65" hidden="1">
              <a:extLst>
                <a:ext uri="{63B3BB69-23CF-44E3-9099-C40C66FF867C}">
                  <a14:compatExt spid="_x0000_s8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22</xdr:row>
          <xdr:rowOff>9525</xdr:rowOff>
        </xdr:from>
        <xdr:to>
          <xdr:col>5</xdr:col>
          <xdr:colOff>19050</xdr:colOff>
          <xdr:row>23</xdr:row>
          <xdr:rowOff>0</xdr:rowOff>
        </xdr:to>
        <xdr:sp macro="" textlink="">
          <xdr:nvSpPr>
            <xdr:cNvPr id="8258" name="Group Box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xdr:row>
          <xdr:rowOff>28575</xdr:rowOff>
        </xdr:from>
        <xdr:to>
          <xdr:col>1</xdr:col>
          <xdr:colOff>5667375</xdr:colOff>
          <xdr:row>23</xdr:row>
          <xdr:rowOff>800100</xdr:rowOff>
        </xdr:to>
        <xdr:sp macro="" textlink="">
          <xdr:nvSpPr>
            <xdr:cNvPr id="8259" name="Option Button 67" hidden="1">
              <a:extLst>
                <a:ext uri="{63B3BB69-23CF-44E3-9099-C40C66FF867C}">
                  <a14:compatExt spid="_x0000_s8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23</xdr:row>
          <xdr:rowOff>38100</xdr:rowOff>
        </xdr:from>
        <xdr:to>
          <xdr:col>4</xdr:col>
          <xdr:colOff>0</xdr:colOff>
          <xdr:row>23</xdr:row>
          <xdr:rowOff>809625</xdr:rowOff>
        </xdr:to>
        <xdr:sp macro="" textlink="">
          <xdr:nvSpPr>
            <xdr:cNvPr id="8260" name="Option Button 68" hidden="1">
              <a:extLst>
                <a:ext uri="{63B3BB69-23CF-44E3-9099-C40C66FF867C}">
                  <a14:compatExt spid="_x0000_s8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23</xdr:row>
          <xdr:rowOff>9525</xdr:rowOff>
        </xdr:from>
        <xdr:to>
          <xdr:col>5</xdr:col>
          <xdr:colOff>19050</xdr:colOff>
          <xdr:row>23</xdr:row>
          <xdr:rowOff>809625</xdr:rowOff>
        </xdr:to>
        <xdr:sp macro="" textlink="">
          <xdr:nvSpPr>
            <xdr:cNvPr id="8261" name="Group Box 69" hidden="1">
              <a:extLst>
                <a:ext uri="{63B3BB69-23CF-44E3-9099-C40C66FF867C}">
                  <a14:compatExt spid="_x0000_s82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xdr:row>
          <xdr:rowOff>28575</xdr:rowOff>
        </xdr:from>
        <xdr:to>
          <xdr:col>1</xdr:col>
          <xdr:colOff>5667375</xdr:colOff>
          <xdr:row>24</xdr:row>
          <xdr:rowOff>809625</xdr:rowOff>
        </xdr:to>
        <xdr:sp macro="" textlink="">
          <xdr:nvSpPr>
            <xdr:cNvPr id="8262" name="Option Button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24</xdr:row>
          <xdr:rowOff>38100</xdr:rowOff>
        </xdr:from>
        <xdr:to>
          <xdr:col>4</xdr:col>
          <xdr:colOff>0</xdr:colOff>
          <xdr:row>25</xdr:row>
          <xdr:rowOff>0</xdr:rowOff>
        </xdr:to>
        <xdr:sp macro="" textlink="">
          <xdr:nvSpPr>
            <xdr:cNvPr id="8263" name="Option Button 71" hidden="1">
              <a:extLst>
                <a:ext uri="{63B3BB69-23CF-44E3-9099-C40C66FF867C}">
                  <a14:compatExt spid="_x0000_s8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24</xdr:row>
          <xdr:rowOff>9525</xdr:rowOff>
        </xdr:from>
        <xdr:to>
          <xdr:col>5</xdr:col>
          <xdr:colOff>19050</xdr:colOff>
          <xdr:row>25</xdr:row>
          <xdr:rowOff>0</xdr:rowOff>
        </xdr:to>
        <xdr:sp macro="" textlink="">
          <xdr:nvSpPr>
            <xdr:cNvPr id="8264" name="Group Box 72" hidden="1">
              <a:extLst>
                <a:ext uri="{63B3BB69-23CF-44E3-9099-C40C66FF867C}">
                  <a14:compatExt spid="_x0000_s826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28575</xdr:rowOff>
        </xdr:from>
        <xdr:to>
          <xdr:col>1</xdr:col>
          <xdr:colOff>5676900</xdr:colOff>
          <xdr:row>25</xdr:row>
          <xdr:rowOff>800100</xdr:rowOff>
        </xdr:to>
        <xdr:sp macro="" textlink="">
          <xdr:nvSpPr>
            <xdr:cNvPr id="8265" name="Option Button 73" hidden="1">
              <a:extLst>
                <a:ext uri="{63B3BB69-23CF-44E3-9099-C40C66FF867C}">
                  <a14:compatExt spid="_x0000_s8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25</xdr:row>
          <xdr:rowOff>38100</xdr:rowOff>
        </xdr:from>
        <xdr:to>
          <xdr:col>5</xdr:col>
          <xdr:colOff>9525</xdr:colOff>
          <xdr:row>25</xdr:row>
          <xdr:rowOff>809625</xdr:rowOff>
        </xdr:to>
        <xdr:sp macro="" textlink="">
          <xdr:nvSpPr>
            <xdr:cNvPr id="8266" name="Option Button 74" hidden="1">
              <a:extLst>
                <a:ext uri="{63B3BB69-23CF-44E3-9099-C40C66FF867C}">
                  <a14:compatExt spid="_x0000_s8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9525</xdr:rowOff>
        </xdr:from>
        <xdr:to>
          <xdr:col>5</xdr:col>
          <xdr:colOff>28575</xdr:colOff>
          <xdr:row>25</xdr:row>
          <xdr:rowOff>809625</xdr:rowOff>
        </xdr:to>
        <xdr:sp macro="" textlink="">
          <xdr:nvSpPr>
            <xdr:cNvPr id="8267" name="Group Box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28575</xdr:rowOff>
        </xdr:from>
        <xdr:to>
          <xdr:col>1</xdr:col>
          <xdr:colOff>5667375</xdr:colOff>
          <xdr:row>26</xdr:row>
          <xdr:rowOff>800100</xdr:rowOff>
        </xdr:to>
        <xdr:sp macro="" textlink="">
          <xdr:nvSpPr>
            <xdr:cNvPr id="8268" name="Option Button 76" hidden="1">
              <a:extLst>
                <a:ext uri="{63B3BB69-23CF-44E3-9099-C40C66FF867C}">
                  <a14:compatExt spid="_x0000_s8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26</xdr:row>
          <xdr:rowOff>38100</xdr:rowOff>
        </xdr:from>
        <xdr:to>
          <xdr:col>4</xdr:col>
          <xdr:colOff>0</xdr:colOff>
          <xdr:row>26</xdr:row>
          <xdr:rowOff>809625</xdr:rowOff>
        </xdr:to>
        <xdr:sp macro="" textlink="">
          <xdr:nvSpPr>
            <xdr:cNvPr id="8269" name="Option Button 77" hidden="1">
              <a:extLst>
                <a:ext uri="{63B3BB69-23CF-44E3-9099-C40C66FF867C}">
                  <a14:compatExt spid="_x0000_s8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9525</xdr:rowOff>
        </xdr:from>
        <xdr:to>
          <xdr:col>5</xdr:col>
          <xdr:colOff>19050</xdr:colOff>
          <xdr:row>26</xdr:row>
          <xdr:rowOff>809625</xdr:rowOff>
        </xdr:to>
        <xdr:sp macro="" textlink="">
          <xdr:nvSpPr>
            <xdr:cNvPr id="8270" name="Group Box 78" hidden="1">
              <a:extLst>
                <a:ext uri="{63B3BB69-23CF-44E3-9099-C40C66FF867C}">
                  <a14:compatExt spid="_x0000_s827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27</xdr:row>
          <xdr:rowOff>38100</xdr:rowOff>
        </xdr:from>
        <xdr:to>
          <xdr:col>1</xdr:col>
          <xdr:colOff>5667375</xdr:colOff>
          <xdr:row>27</xdr:row>
          <xdr:rowOff>809625</xdr:rowOff>
        </xdr:to>
        <xdr:sp macro="" textlink="">
          <xdr:nvSpPr>
            <xdr:cNvPr id="8271" name="Option Button 79" hidden="1">
              <a:extLst>
                <a:ext uri="{63B3BB69-23CF-44E3-9099-C40C66FF867C}">
                  <a14:compatExt spid="_x0000_s8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27</xdr:row>
          <xdr:rowOff>47625</xdr:rowOff>
        </xdr:from>
        <xdr:to>
          <xdr:col>4</xdr:col>
          <xdr:colOff>0</xdr:colOff>
          <xdr:row>28</xdr:row>
          <xdr:rowOff>0</xdr:rowOff>
        </xdr:to>
        <xdr:sp macro="" textlink="">
          <xdr:nvSpPr>
            <xdr:cNvPr id="8272" name="Option Button 80" hidden="1">
              <a:extLst>
                <a:ext uri="{63B3BB69-23CF-44E3-9099-C40C66FF867C}">
                  <a14:compatExt spid="_x0000_s8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27</xdr:row>
          <xdr:rowOff>19050</xdr:rowOff>
        </xdr:from>
        <xdr:to>
          <xdr:col>5</xdr:col>
          <xdr:colOff>19050</xdr:colOff>
          <xdr:row>28</xdr:row>
          <xdr:rowOff>0</xdr:rowOff>
        </xdr:to>
        <xdr:sp macro="" textlink="">
          <xdr:nvSpPr>
            <xdr:cNvPr id="8273" name="Group Box 81" hidden="1">
              <a:extLst>
                <a:ext uri="{63B3BB69-23CF-44E3-9099-C40C66FF867C}">
                  <a14:compatExt spid="_x0000_s827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28</xdr:row>
          <xdr:rowOff>28575</xdr:rowOff>
        </xdr:from>
        <xdr:to>
          <xdr:col>1</xdr:col>
          <xdr:colOff>5667375</xdr:colOff>
          <xdr:row>28</xdr:row>
          <xdr:rowOff>800100</xdr:rowOff>
        </xdr:to>
        <xdr:sp macro="" textlink="">
          <xdr:nvSpPr>
            <xdr:cNvPr id="8274" name="Option Button 82" hidden="1">
              <a:extLst>
                <a:ext uri="{63B3BB69-23CF-44E3-9099-C40C66FF867C}">
                  <a14:compatExt spid="_x0000_s8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28</xdr:row>
          <xdr:rowOff>38100</xdr:rowOff>
        </xdr:from>
        <xdr:to>
          <xdr:col>4</xdr:col>
          <xdr:colOff>0</xdr:colOff>
          <xdr:row>28</xdr:row>
          <xdr:rowOff>809625</xdr:rowOff>
        </xdr:to>
        <xdr:sp macro="" textlink="">
          <xdr:nvSpPr>
            <xdr:cNvPr id="8275" name="Option Button 83" hidden="1">
              <a:extLst>
                <a:ext uri="{63B3BB69-23CF-44E3-9099-C40C66FF867C}">
                  <a14:compatExt spid="_x0000_s8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28</xdr:row>
          <xdr:rowOff>9525</xdr:rowOff>
        </xdr:from>
        <xdr:to>
          <xdr:col>5</xdr:col>
          <xdr:colOff>19050</xdr:colOff>
          <xdr:row>28</xdr:row>
          <xdr:rowOff>809625</xdr:rowOff>
        </xdr:to>
        <xdr:sp macro="" textlink="">
          <xdr:nvSpPr>
            <xdr:cNvPr id="8276" name="Group Box 84" hidden="1">
              <a:extLst>
                <a:ext uri="{63B3BB69-23CF-44E3-9099-C40C66FF867C}">
                  <a14:compatExt spid="_x0000_s827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28575</xdr:rowOff>
        </xdr:from>
        <xdr:to>
          <xdr:col>1</xdr:col>
          <xdr:colOff>5667375</xdr:colOff>
          <xdr:row>29</xdr:row>
          <xdr:rowOff>800100</xdr:rowOff>
        </xdr:to>
        <xdr:sp macro="" textlink="">
          <xdr:nvSpPr>
            <xdr:cNvPr id="8277" name="Option Button 85" hidden="1">
              <a:extLst>
                <a:ext uri="{63B3BB69-23CF-44E3-9099-C40C66FF867C}">
                  <a14:compatExt spid="_x0000_s8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29</xdr:row>
          <xdr:rowOff>38100</xdr:rowOff>
        </xdr:from>
        <xdr:to>
          <xdr:col>4</xdr:col>
          <xdr:colOff>0</xdr:colOff>
          <xdr:row>29</xdr:row>
          <xdr:rowOff>809625</xdr:rowOff>
        </xdr:to>
        <xdr:sp macro="" textlink="">
          <xdr:nvSpPr>
            <xdr:cNvPr id="8278" name="Option Button 86" hidden="1">
              <a:extLst>
                <a:ext uri="{63B3BB69-23CF-44E3-9099-C40C66FF867C}">
                  <a14:compatExt spid="_x0000_s8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9525</xdr:rowOff>
        </xdr:from>
        <xdr:to>
          <xdr:col>5</xdr:col>
          <xdr:colOff>19050</xdr:colOff>
          <xdr:row>29</xdr:row>
          <xdr:rowOff>809625</xdr:rowOff>
        </xdr:to>
        <xdr:sp macro="" textlink="">
          <xdr:nvSpPr>
            <xdr:cNvPr id="8279" name="Group Box 87" hidden="1">
              <a:extLst>
                <a:ext uri="{63B3BB69-23CF-44E3-9099-C40C66FF867C}">
                  <a14:compatExt spid="_x0000_s82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xdr:row>
          <xdr:rowOff>19050</xdr:rowOff>
        </xdr:from>
        <xdr:to>
          <xdr:col>1</xdr:col>
          <xdr:colOff>5667375</xdr:colOff>
          <xdr:row>30</xdr:row>
          <xdr:rowOff>790575</xdr:rowOff>
        </xdr:to>
        <xdr:sp macro="" textlink="">
          <xdr:nvSpPr>
            <xdr:cNvPr id="8280" name="Option Button 88" hidden="1">
              <a:extLst>
                <a:ext uri="{63B3BB69-23CF-44E3-9099-C40C66FF867C}">
                  <a14:compatExt spid="_x0000_s8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28575</xdr:rowOff>
        </xdr:from>
        <xdr:to>
          <xdr:col>4</xdr:col>
          <xdr:colOff>0</xdr:colOff>
          <xdr:row>30</xdr:row>
          <xdr:rowOff>800100</xdr:rowOff>
        </xdr:to>
        <xdr:sp macro="" textlink="">
          <xdr:nvSpPr>
            <xdr:cNvPr id="8281" name="Option Button 89" hidden="1">
              <a:extLst>
                <a:ext uri="{63B3BB69-23CF-44E3-9099-C40C66FF867C}">
                  <a14:compatExt spid="_x0000_s8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xdr:row>
          <xdr:rowOff>0</xdr:rowOff>
        </xdr:from>
        <xdr:to>
          <xdr:col>5</xdr:col>
          <xdr:colOff>19050</xdr:colOff>
          <xdr:row>30</xdr:row>
          <xdr:rowOff>800100</xdr:rowOff>
        </xdr:to>
        <xdr:sp macro="" textlink="">
          <xdr:nvSpPr>
            <xdr:cNvPr id="8282" name="Group Box 90" hidden="1">
              <a:extLst>
                <a:ext uri="{63B3BB69-23CF-44E3-9099-C40C66FF867C}">
                  <a14:compatExt spid="_x0000_s82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31</xdr:row>
          <xdr:rowOff>19050</xdr:rowOff>
        </xdr:from>
        <xdr:to>
          <xdr:col>1</xdr:col>
          <xdr:colOff>5667375</xdr:colOff>
          <xdr:row>31</xdr:row>
          <xdr:rowOff>790575</xdr:rowOff>
        </xdr:to>
        <xdr:sp macro="" textlink="">
          <xdr:nvSpPr>
            <xdr:cNvPr id="8283" name="Option Button 91" hidden="1">
              <a:extLst>
                <a:ext uri="{63B3BB69-23CF-44E3-9099-C40C66FF867C}">
                  <a14:compatExt spid="_x0000_s8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28575</xdr:rowOff>
        </xdr:from>
        <xdr:to>
          <xdr:col>4</xdr:col>
          <xdr:colOff>0</xdr:colOff>
          <xdr:row>31</xdr:row>
          <xdr:rowOff>800100</xdr:rowOff>
        </xdr:to>
        <xdr:sp macro="" textlink="">
          <xdr:nvSpPr>
            <xdr:cNvPr id="8284" name="Option Button 92" hidden="1">
              <a:extLst>
                <a:ext uri="{63B3BB69-23CF-44E3-9099-C40C66FF867C}">
                  <a14:compatExt spid="_x0000_s8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5</xdr:col>
          <xdr:colOff>19050</xdr:colOff>
          <xdr:row>31</xdr:row>
          <xdr:rowOff>800100</xdr:rowOff>
        </xdr:to>
        <xdr:sp macro="" textlink="">
          <xdr:nvSpPr>
            <xdr:cNvPr id="8285" name="Group Box 93" hidden="1">
              <a:extLst>
                <a:ext uri="{63B3BB69-23CF-44E3-9099-C40C66FF867C}">
                  <a14:compatExt spid="_x0000_s82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32</xdr:row>
          <xdr:rowOff>28575</xdr:rowOff>
        </xdr:from>
        <xdr:to>
          <xdr:col>1</xdr:col>
          <xdr:colOff>5667375</xdr:colOff>
          <xdr:row>32</xdr:row>
          <xdr:rowOff>809625</xdr:rowOff>
        </xdr:to>
        <xdr:sp macro="" textlink="">
          <xdr:nvSpPr>
            <xdr:cNvPr id="8286" name="Option Button 94" hidden="1">
              <a:extLst>
                <a:ext uri="{63B3BB69-23CF-44E3-9099-C40C66FF867C}">
                  <a14:compatExt spid="_x0000_s8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38100</xdr:rowOff>
        </xdr:from>
        <xdr:to>
          <xdr:col>4</xdr:col>
          <xdr:colOff>0</xdr:colOff>
          <xdr:row>33</xdr:row>
          <xdr:rowOff>0</xdr:rowOff>
        </xdr:to>
        <xdr:sp macro="" textlink="">
          <xdr:nvSpPr>
            <xdr:cNvPr id="8287" name="Option Button 95" hidden="1">
              <a:extLst>
                <a:ext uri="{63B3BB69-23CF-44E3-9099-C40C66FF867C}">
                  <a14:compatExt spid="_x0000_s8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32</xdr:row>
          <xdr:rowOff>9525</xdr:rowOff>
        </xdr:from>
        <xdr:to>
          <xdr:col>5</xdr:col>
          <xdr:colOff>19050</xdr:colOff>
          <xdr:row>33</xdr:row>
          <xdr:rowOff>0</xdr:rowOff>
        </xdr:to>
        <xdr:sp macro="" textlink="">
          <xdr:nvSpPr>
            <xdr:cNvPr id="8288" name="Group Box 96" hidden="1">
              <a:extLst>
                <a:ext uri="{63B3BB69-23CF-44E3-9099-C40C66FF867C}">
                  <a14:compatExt spid="_x0000_s828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33</xdr:row>
          <xdr:rowOff>28575</xdr:rowOff>
        </xdr:from>
        <xdr:to>
          <xdr:col>1</xdr:col>
          <xdr:colOff>5667375</xdr:colOff>
          <xdr:row>33</xdr:row>
          <xdr:rowOff>800100</xdr:rowOff>
        </xdr:to>
        <xdr:sp macro="" textlink="">
          <xdr:nvSpPr>
            <xdr:cNvPr id="8289" name="Option Button 97" hidden="1">
              <a:extLst>
                <a:ext uri="{63B3BB69-23CF-44E3-9099-C40C66FF867C}">
                  <a14:compatExt spid="_x0000_s8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38100</xdr:rowOff>
        </xdr:from>
        <xdr:to>
          <xdr:col>4</xdr:col>
          <xdr:colOff>0</xdr:colOff>
          <xdr:row>33</xdr:row>
          <xdr:rowOff>809625</xdr:rowOff>
        </xdr:to>
        <xdr:sp macro="" textlink="">
          <xdr:nvSpPr>
            <xdr:cNvPr id="8290" name="Option Button 98" hidden="1">
              <a:extLst>
                <a:ext uri="{63B3BB69-23CF-44E3-9099-C40C66FF867C}">
                  <a14:compatExt spid="_x0000_s8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33</xdr:row>
          <xdr:rowOff>9525</xdr:rowOff>
        </xdr:from>
        <xdr:to>
          <xdr:col>5</xdr:col>
          <xdr:colOff>19050</xdr:colOff>
          <xdr:row>33</xdr:row>
          <xdr:rowOff>809625</xdr:rowOff>
        </xdr:to>
        <xdr:sp macro="" textlink="">
          <xdr:nvSpPr>
            <xdr:cNvPr id="8291" name="Group Box 99" hidden="1">
              <a:extLst>
                <a:ext uri="{63B3BB69-23CF-44E3-9099-C40C66FF867C}">
                  <a14:compatExt spid="_x0000_s829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34</xdr:row>
          <xdr:rowOff>28575</xdr:rowOff>
        </xdr:from>
        <xdr:to>
          <xdr:col>1</xdr:col>
          <xdr:colOff>5667375</xdr:colOff>
          <xdr:row>34</xdr:row>
          <xdr:rowOff>809625</xdr:rowOff>
        </xdr:to>
        <xdr:sp macro="" textlink="">
          <xdr:nvSpPr>
            <xdr:cNvPr id="8292" name="Option Button 100" hidden="1">
              <a:extLst>
                <a:ext uri="{63B3BB69-23CF-44E3-9099-C40C66FF867C}">
                  <a14:compatExt spid="_x0000_s8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34</xdr:row>
          <xdr:rowOff>38100</xdr:rowOff>
        </xdr:from>
        <xdr:to>
          <xdr:col>4</xdr:col>
          <xdr:colOff>0</xdr:colOff>
          <xdr:row>35</xdr:row>
          <xdr:rowOff>0</xdr:rowOff>
        </xdr:to>
        <xdr:sp macro="" textlink="">
          <xdr:nvSpPr>
            <xdr:cNvPr id="8293" name="Option Button 101" hidden="1">
              <a:extLst>
                <a:ext uri="{63B3BB69-23CF-44E3-9099-C40C66FF867C}">
                  <a14:compatExt spid="_x0000_s8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34</xdr:row>
          <xdr:rowOff>9525</xdr:rowOff>
        </xdr:from>
        <xdr:to>
          <xdr:col>5</xdr:col>
          <xdr:colOff>19050</xdr:colOff>
          <xdr:row>35</xdr:row>
          <xdr:rowOff>0</xdr:rowOff>
        </xdr:to>
        <xdr:sp macro="" textlink="">
          <xdr:nvSpPr>
            <xdr:cNvPr id="8294" name="Group Box 102" hidden="1">
              <a:extLst>
                <a:ext uri="{63B3BB69-23CF-44E3-9099-C40C66FF867C}">
                  <a14:compatExt spid="_x0000_s829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28575</xdr:rowOff>
        </xdr:from>
        <xdr:to>
          <xdr:col>1</xdr:col>
          <xdr:colOff>5676900</xdr:colOff>
          <xdr:row>35</xdr:row>
          <xdr:rowOff>800100</xdr:rowOff>
        </xdr:to>
        <xdr:sp macro="" textlink="">
          <xdr:nvSpPr>
            <xdr:cNvPr id="8295" name="Option Button 103" hidden="1">
              <a:extLst>
                <a:ext uri="{63B3BB69-23CF-44E3-9099-C40C66FF867C}">
                  <a14:compatExt spid="_x0000_s8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35</xdr:row>
          <xdr:rowOff>38100</xdr:rowOff>
        </xdr:from>
        <xdr:to>
          <xdr:col>5</xdr:col>
          <xdr:colOff>9525</xdr:colOff>
          <xdr:row>35</xdr:row>
          <xdr:rowOff>809625</xdr:rowOff>
        </xdr:to>
        <xdr:sp macro="" textlink="">
          <xdr:nvSpPr>
            <xdr:cNvPr id="8296" name="Option Button 104" hidden="1">
              <a:extLst>
                <a:ext uri="{63B3BB69-23CF-44E3-9099-C40C66FF867C}">
                  <a14:compatExt spid="_x0000_s8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9525</xdr:rowOff>
        </xdr:from>
        <xdr:to>
          <xdr:col>5</xdr:col>
          <xdr:colOff>28575</xdr:colOff>
          <xdr:row>35</xdr:row>
          <xdr:rowOff>809625</xdr:rowOff>
        </xdr:to>
        <xdr:sp macro="" textlink="">
          <xdr:nvSpPr>
            <xdr:cNvPr id="8297" name="Group Box 105" hidden="1">
              <a:extLst>
                <a:ext uri="{63B3BB69-23CF-44E3-9099-C40C66FF867C}">
                  <a14:compatExt spid="_x0000_s829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36</xdr:row>
          <xdr:rowOff>28575</xdr:rowOff>
        </xdr:from>
        <xdr:to>
          <xdr:col>1</xdr:col>
          <xdr:colOff>5667375</xdr:colOff>
          <xdr:row>36</xdr:row>
          <xdr:rowOff>800100</xdr:rowOff>
        </xdr:to>
        <xdr:sp macro="" textlink="">
          <xdr:nvSpPr>
            <xdr:cNvPr id="8298" name="Option Button 106" hidden="1">
              <a:extLst>
                <a:ext uri="{63B3BB69-23CF-44E3-9099-C40C66FF867C}">
                  <a14:compatExt spid="_x0000_s8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36</xdr:row>
          <xdr:rowOff>38100</xdr:rowOff>
        </xdr:from>
        <xdr:to>
          <xdr:col>4</xdr:col>
          <xdr:colOff>0</xdr:colOff>
          <xdr:row>36</xdr:row>
          <xdr:rowOff>809625</xdr:rowOff>
        </xdr:to>
        <xdr:sp macro="" textlink="">
          <xdr:nvSpPr>
            <xdr:cNvPr id="8299" name="Option Button 107" hidden="1">
              <a:extLst>
                <a:ext uri="{63B3BB69-23CF-44E3-9099-C40C66FF867C}">
                  <a14:compatExt spid="_x0000_s8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36</xdr:row>
          <xdr:rowOff>9525</xdr:rowOff>
        </xdr:from>
        <xdr:to>
          <xdr:col>5</xdr:col>
          <xdr:colOff>19050</xdr:colOff>
          <xdr:row>36</xdr:row>
          <xdr:rowOff>809625</xdr:rowOff>
        </xdr:to>
        <xdr:sp macro="" textlink="">
          <xdr:nvSpPr>
            <xdr:cNvPr id="8300" name="Group Box 108" hidden="1">
              <a:extLst>
                <a:ext uri="{63B3BB69-23CF-44E3-9099-C40C66FF867C}">
                  <a14:compatExt spid="_x0000_s83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37</xdr:row>
          <xdr:rowOff>38100</xdr:rowOff>
        </xdr:from>
        <xdr:to>
          <xdr:col>1</xdr:col>
          <xdr:colOff>5667375</xdr:colOff>
          <xdr:row>37</xdr:row>
          <xdr:rowOff>809625</xdr:rowOff>
        </xdr:to>
        <xdr:sp macro="" textlink="">
          <xdr:nvSpPr>
            <xdr:cNvPr id="8301" name="Option Button 109" hidden="1">
              <a:extLst>
                <a:ext uri="{63B3BB69-23CF-44E3-9099-C40C66FF867C}">
                  <a14:compatExt spid="_x0000_s8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37</xdr:row>
          <xdr:rowOff>47625</xdr:rowOff>
        </xdr:from>
        <xdr:to>
          <xdr:col>4</xdr:col>
          <xdr:colOff>0</xdr:colOff>
          <xdr:row>38</xdr:row>
          <xdr:rowOff>0</xdr:rowOff>
        </xdr:to>
        <xdr:sp macro="" textlink="">
          <xdr:nvSpPr>
            <xdr:cNvPr id="8302" name="Option Button 110" hidden="1">
              <a:extLst>
                <a:ext uri="{63B3BB69-23CF-44E3-9099-C40C66FF867C}">
                  <a14:compatExt spid="_x0000_s8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37</xdr:row>
          <xdr:rowOff>19050</xdr:rowOff>
        </xdr:from>
        <xdr:to>
          <xdr:col>5</xdr:col>
          <xdr:colOff>19050</xdr:colOff>
          <xdr:row>38</xdr:row>
          <xdr:rowOff>0</xdr:rowOff>
        </xdr:to>
        <xdr:sp macro="" textlink="">
          <xdr:nvSpPr>
            <xdr:cNvPr id="8303" name="Group Box 111" hidden="1">
              <a:extLst>
                <a:ext uri="{63B3BB69-23CF-44E3-9099-C40C66FF867C}">
                  <a14:compatExt spid="_x0000_s830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38</xdr:row>
          <xdr:rowOff>28575</xdr:rowOff>
        </xdr:from>
        <xdr:to>
          <xdr:col>1</xdr:col>
          <xdr:colOff>5667375</xdr:colOff>
          <xdr:row>38</xdr:row>
          <xdr:rowOff>800100</xdr:rowOff>
        </xdr:to>
        <xdr:sp macro="" textlink="">
          <xdr:nvSpPr>
            <xdr:cNvPr id="8304" name="Option Button 112" hidden="1">
              <a:extLst>
                <a:ext uri="{63B3BB69-23CF-44E3-9099-C40C66FF867C}">
                  <a14:compatExt spid="_x0000_s8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38</xdr:row>
          <xdr:rowOff>38100</xdr:rowOff>
        </xdr:from>
        <xdr:to>
          <xdr:col>4</xdr:col>
          <xdr:colOff>0</xdr:colOff>
          <xdr:row>38</xdr:row>
          <xdr:rowOff>809625</xdr:rowOff>
        </xdr:to>
        <xdr:sp macro="" textlink="">
          <xdr:nvSpPr>
            <xdr:cNvPr id="8305" name="Option Button 113" hidden="1">
              <a:extLst>
                <a:ext uri="{63B3BB69-23CF-44E3-9099-C40C66FF867C}">
                  <a14:compatExt spid="_x0000_s8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38</xdr:row>
          <xdr:rowOff>9525</xdr:rowOff>
        </xdr:from>
        <xdr:to>
          <xdr:col>5</xdr:col>
          <xdr:colOff>19050</xdr:colOff>
          <xdr:row>38</xdr:row>
          <xdr:rowOff>809625</xdr:rowOff>
        </xdr:to>
        <xdr:sp macro="" textlink="">
          <xdr:nvSpPr>
            <xdr:cNvPr id="8306" name="Group Box 114" hidden="1">
              <a:extLst>
                <a:ext uri="{63B3BB69-23CF-44E3-9099-C40C66FF867C}">
                  <a14:compatExt spid="_x0000_s830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39</xdr:row>
          <xdr:rowOff>28575</xdr:rowOff>
        </xdr:from>
        <xdr:to>
          <xdr:col>1</xdr:col>
          <xdr:colOff>5667375</xdr:colOff>
          <xdr:row>39</xdr:row>
          <xdr:rowOff>800100</xdr:rowOff>
        </xdr:to>
        <xdr:sp macro="" textlink="">
          <xdr:nvSpPr>
            <xdr:cNvPr id="8307" name="Option Button 115" hidden="1">
              <a:extLst>
                <a:ext uri="{63B3BB69-23CF-44E3-9099-C40C66FF867C}">
                  <a14:compatExt spid="_x0000_s8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39</xdr:row>
          <xdr:rowOff>38100</xdr:rowOff>
        </xdr:from>
        <xdr:to>
          <xdr:col>4</xdr:col>
          <xdr:colOff>0</xdr:colOff>
          <xdr:row>39</xdr:row>
          <xdr:rowOff>809625</xdr:rowOff>
        </xdr:to>
        <xdr:sp macro="" textlink="">
          <xdr:nvSpPr>
            <xdr:cNvPr id="8308" name="Option Button 116" hidden="1">
              <a:extLst>
                <a:ext uri="{63B3BB69-23CF-44E3-9099-C40C66FF867C}">
                  <a14:compatExt spid="_x0000_s8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39</xdr:row>
          <xdr:rowOff>9525</xdr:rowOff>
        </xdr:from>
        <xdr:to>
          <xdr:col>5</xdr:col>
          <xdr:colOff>19050</xdr:colOff>
          <xdr:row>39</xdr:row>
          <xdr:rowOff>809625</xdr:rowOff>
        </xdr:to>
        <xdr:sp macro="" textlink="">
          <xdr:nvSpPr>
            <xdr:cNvPr id="8309" name="Group Box 117" hidden="1">
              <a:extLst>
                <a:ext uri="{63B3BB69-23CF-44E3-9099-C40C66FF867C}">
                  <a14:compatExt spid="_x0000_s830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40</xdr:row>
          <xdr:rowOff>19050</xdr:rowOff>
        </xdr:from>
        <xdr:to>
          <xdr:col>1</xdr:col>
          <xdr:colOff>5667375</xdr:colOff>
          <xdr:row>40</xdr:row>
          <xdr:rowOff>790575</xdr:rowOff>
        </xdr:to>
        <xdr:sp macro="" textlink="">
          <xdr:nvSpPr>
            <xdr:cNvPr id="8310" name="Option Button 118" hidden="1">
              <a:extLst>
                <a:ext uri="{63B3BB69-23CF-44E3-9099-C40C66FF867C}">
                  <a14:compatExt spid="_x0000_s8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40</xdr:row>
          <xdr:rowOff>28575</xdr:rowOff>
        </xdr:from>
        <xdr:to>
          <xdr:col>4</xdr:col>
          <xdr:colOff>0</xdr:colOff>
          <xdr:row>40</xdr:row>
          <xdr:rowOff>800100</xdr:rowOff>
        </xdr:to>
        <xdr:sp macro="" textlink="">
          <xdr:nvSpPr>
            <xdr:cNvPr id="8311" name="Option Button 119" hidden="1">
              <a:extLst>
                <a:ext uri="{63B3BB69-23CF-44E3-9099-C40C66FF867C}">
                  <a14:compatExt spid="_x0000_s8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40</xdr:row>
          <xdr:rowOff>0</xdr:rowOff>
        </xdr:from>
        <xdr:to>
          <xdr:col>5</xdr:col>
          <xdr:colOff>19050</xdr:colOff>
          <xdr:row>40</xdr:row>
          <xdr:rowOff>800100</xdr:rowOff>
        </xdr:to>
        <xdr:sp macro="" textlink="">
          <xdr:nvSpPr>
            <xdr:cNvPr id="8312" name="Group Box 120" hidden="1">
              <a:extLst>
                <a:ext uri="{63B3BB69-23CF-44E3-9099-C40C66FF867C}">
                  <a14:compatExt spid="_x0000_s831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41</xdr:row>
          <xdr:rowOff>19050</xdr:rowOff>
        </xdr:from>
        <xdr:to>
          <xdr:col>1</xdr:col>
          <xdr:colOff>5667375</xdr:colOff>
          <xdr:row>41</xdr:row>
          <xdr:rowOff>790575</xdr:rowOff>
        </xdr:to>
        <xdr:sp macro="" textlink="">
          <xdr:nvSpPr>
            <xdr:cNvPr id="8313" name="Option Button 121" hidden="1">
              <a:extLst>
                <a:ext uri="{63B3BB69-23CF-44E3-9099-C40C66FF867C}">
                  <a14:compatExt spid="_x0000_s8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41</xdr:row>
          <xdr:rowOff>28575</xdr:rowOff>
        </xdr:from>
        <xdr:to>
          <xdr:col>4</xdr:col>
          <xdr:colOff>0</xdr:colOff>
          <xdr:row>41</xdr:row>
          <xdr:rowOff>800100</xdr:rowOff>
        </xdr:to>
        <xdr:sp macro="" textlink="">
          <xdr:nvSpPr>
            <xdr:cNvPr id="8314" name="Option Button 122" hidden="1">
              <a:extLst>
                <a:ext uri="{63B3BB69-23CF-44E3-9099-C40C66FF867C}">
                  <a14:compatExt spid="_x0000_s83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41</xdr:row>
          <xdr:rowOff>0</xdr:rowOff>
        </xdr:from>
        <xdr:to>
          <xdr:col>5</xdr:col>
          <xdr:colOff>19050</xdr:colOff>
          <xdr:row>41</xdr:row>
          <xdr:rowOff>800100</xdr:rowOff>
        </xdr:to>
        <xdr:sp macro="" textlink="">
          <xdr:nvSpPr>
            <xdr:cNvPr id="8315" name="Group Box 123" hidden="1">
              <a:extLst>
                <a:ext uri="{63B3BB69-23CF-44E3-9099-C40C66FF867C}">
                  <a14:compatExt spid="_x0000_s831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42</xdr:row>
          <xdr:rowOff>28575</xdr:rowOff>
        </xdr:from>
        <xdr:to>
          <xdr:col>1</xdr:col>
          <xdr:colOff>5667375</xdr:colOff>
          <xdr:row>42</xdr:row>
          <xdr:rowOff>809625</xdr:rowOff>
        </xdr:to>
        <xdr:sp macro="" textlink="">
          <xdr:nvSpPr>
            <xdr:cNvPr id="8316" name="Option Button 124" hidden="1">
              <a:extLst>
                <a:ext uri="{63B3BB69-23CF-44E3-9099-C40C66FF867C}">
                  <a14:compatExt spid="_x0000_s83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42</xdr:row>
          <xdr:rowOff>38100</xdr:rowOff>
        </xdr:from>
        <xdr:to>
          <xdr:col>4</xdr:col>
          <xdr:colOff>0</xdr:colOff>
          <xdr:row>43</xdr:row>
          <xdr:rowOff>0</xdr:rowOff>
        </xdr:to>
        <xdr:sp macro="" textlink="">
          <xdr:nvSpPr>
            <xdr:cNvPr id="8317" name="Option Button 125" hidden="1">
              <a:extLst>
                <a:ext uri="{63B3BB69-23CF-44E3-9099-C40C66FF867C}">
                  <a14:compatExt spid="_x0000_s83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42</xdr:row>
          <xdr:rowOff>9525</xdr:rowOff>
        </xdr:from>
        <xdr:to>
          <xdr:col>5</xdr:col>
          <xdr:colOff>19050</xdr:colOff>
          <xdr:row>43</xdr:row>
          <xdr:rowOff>0</xdr:rowOff>
        </xdr:to>
        <xdr:sp macro="" textlink="">
          <xdr:nvSpPr>
            <xdr:cNvPr id="8318" name="Group Box 126" hidden="1">
              <a:extLst>
                <a:ext uri="{63B3BB69-23CF-44E3-9099-C40C66FF867C}">
                  <a14:compatExt spid="_x0000_s831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43</xdr:row>
          <xdr:rowOff>28575</xdr:rowOff>
        </xdr:from>
        <xdr:to>
          <xdr:col>1</xdr:col>
          <xdr:colOff>5667375</xdr:colOff>
          <xdr:row>43</xdr:row>
          <xdr:rowOff>800100</xdr:rowOff>
        </xdr:to>
        <xdr:sp macro="" textlink="">
          <xdr:nvSpPr>
            <xdr:cNvPr id="8319" name="Option Button 127" hidden="1">
              <a:extLst>
                <a:ext uri="{63B3BB69-23CF-44E3-9099-C40C66FF867C}">
                  <a14:compatExt spid="_x0000_s83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43</xdr:row>
          <xdr:rowOff>38100</xdr:rowOff>
        </xdr:from>
        <xdr:to>
          <xdr:col>4</xdr:col>
          <xdr:colOff>0</xdr:colOff>
          <xdr:row>43</xdr:row>
          <xdr:rowOff>809625</xdr:rowOff>
        </xdr:to>
        <xdr:sp macro="" textlink="">
          <xdr:nvSpPr>
            <xdr:cNvPr id="8320" name="Option Button 128" hidden="1">
              <a:extLst>
                <a:ext uri="{63B3BB69-23CF-44E3-9099-C40C66FF867C}">
                  <a14:compatExt spid="_x0000_s83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43</xdr:row>
          <xdr:rowOff>9525</xdr:rowOff>
        </xdr:from>
        <xdr:to>
          <xdr:col>5</xdr:col>
          <xdr:colOff>19050</xdr:colOff>
          <xdr:row>43</xdr:row>
          <xdr:rowOff>809625</xdr:rowOff>
        </xdr:to>
        <xdr:sp macro="" textlink="">
          <xdr:nvSpPr>
            <xdr:cNvPr id="8321" name="Group Box 129" hidden="1">
              <a:extLst>
                <a:ext uri="{63B3BB69-23CF-44E3-9099-C40C66FF867C}">
                  <a14:compatExt spid="_x0000_s832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44</xdr:row>
          <xdr:rowOff>28575</xdr:rowOff>
        </xdr:from>
        <xdr:to>
          <xdr:col>1</xdr:col>
          <xdr:colOff>5667375</xdr:colOff>
          <xdr:row>44</xdr:row>
          <xdr:rowOff>809625</xdr:rowOff>
        </xdr:to>
        <xdr:sp macro="" textlink="">
          <xdr:nvSpPr>
            <xdr:cNvPr id="8322" name="Option Button 130" hidden="1">
              <a:extLst>
                <a:ext uri="{63B3BB69-23CF-44E3-9099-C40C66FF867C}">
                  <a14:compatExt spid="_x0000_s83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44</xdr:row>
          <xdr:rowOff>38100</xdr:rowOff>
        </xdr:from>
        <xdr:to>
          <xdr:col>4</xdr:col>
          <xdr:colOff>0</xdr:colOff>
          <xdr:row>45</xdr:row>
          <xdr:rowOff>0</xdr:rowOff>
        </xdr:to>
        <xdr:sp macro="" textlink="">
          <xdr:nvSpPr>
            <xdr:cNvPr id="8323" name="Option Button 131" hidden="1">
              <a:extLst>
                <a:ext uri="{63B3BB69-23CF-44E3-9099-C40C66FF867C}">
                  <a14:compatExt spid="_x0000_s83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44</xdr:row>
          <xdr:rowOff>9525</xdr:rowOff>
        </xdr:from>
        <xdr:to>
          <xdr:col>5</xdr:col>
          <xdr:colOff>19050</xdr:colOff>
          <xdr:row>45</xdr:row>
          <xdr:rowOff>0</xdr:rowOff>
        </xdr:to>
        <xdr:sp macro="" textlink="">
          <xdr:nvSpPr>
            <xdr:cNvPr id="8324" name="Group Box 132" hidden="1">
              <a:extLst>
                <a:ext uri="{63B3BB69-23CF-44E3-9099-C40C66FF867C}">
                  <a14:compatExt spid="_x0000_s832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28575</xdr:rowOff>
        </xdr:from>
        <xdr:to>
          <xdr:col>1</xdr:col>
          <xdr:colOff>5676900</xdr:colOff>
          <xdr:row>45</xdr:row>
          <xdr:rowOff>800100</xdr:rowOff>
        </xdr:to>
        <xdr:sp macro="" textlink="">
          <xdr:nvSpPr>
            <xdr:cNvPr id="8325" name="Option Button 133" hidden="1">
              <a:extLst>
                <a:ext uri="{63B3BB69-23CF-44E3-9099-C40C66FF867C}">
                  <a14:compatExt spid="_x0000_s83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45</xdr:row>
          <xdr:rowOff>38100</xdr:rowOff>
        </xdr:from>
        <xdr:to>
          <xdr:col>5</xdr:col>
          <xdr:colOff>9525</xdr:colOff>
          <xdr:row>45</xdr:row>
          <xdr:rowOff>809625</xdr:rowOff>
        </xdr:to>
        <xdr:sp macro="" textlink="">
          <xdr:nvSpPr>
            <xdr:cNvPr id="8326" name="Option Button 134" hidden="1">
              <a:extLst>
                <a:ext uri="{63B3BB69-23CF-44E3-9099-C40C66FF867C}">
                  <a14:compatExt spid="_x0000_s83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9525</xdr:rowOff>
        </xdr:from>
        <xdr:to>
          <xdr:col>5</xdr:col>
          <xdr:colOff>28575</xdr:colOff>
          <xdr:row>45</xdr:row>
          <xdr:rowOff>809625</xdr:rowOff>
        </xdr:to>
        <xdr:sp macro="" textlink="">
          <xdr:nvSpPr>
            <xdr:cNvPr id="8327" name="Group Box 135" hidden="1">
              <a:extLst>
                <a:ext uri="{63B3BB69-23CF-44E3-9099-C40C66FF867C}">
                  <a14:compatExt spid="_x0000_s832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46</xdr:row>
          <xdr:rowOff>28575</xdr:rowOff>
        </xdr:from>
        <xdr:to>
          <xdr:col>1</xdr:col>
          <xdr:colOff>5667375</xdr:colOff>
          <xdr:row>46</xdr:row>
          <xdr:rowOff>800100</xdr:rowOff>
        </xdr:to>
        <xdr:sp macro="" textlink="">
          <xdr:nvSpPr>
            <xdr:cNvPr id="8328" name="Option Button 136" hidden="1">
              <a:extLst>
                <a:ext uri="{63B3BB69-23CF-44E3-9099-C40C66FF867C}">
                  <a14:compatExt spid="_x0000_s83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46</xdr:row>
          <xdr:rowOff>38100</xdr:rowOff>
        </xdr:from>
        <xdr:to>
          <xdr:col>4</xdr:col>
          <xdr:colOff>0</xdr:colOff>
          <xdr:row>46</xdr:row>
          <xdr:rowOff>809625</xdr:rowOff>
        </xdr:to>
        <xdr:sp macro="" textlink="">
          <xdr:nvSpPr>
            <xdr:cNvPr id="8329" name="Option Button 137" hidden="1">
              <a:extLst>
                <a:ext uri="{63B3BB69-23CF-44E3-9099-C40C66FF867C}">
                  <a14:compatExt spid="_x0000_s83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46</xdr:row>
          <xdr:rowOff>9525</xdr:rowOff>
        </xdr:from>
        <xdr:to>
          <xdr:col>5</xdr:col>
          <xdr:colOff>19050</xdr:colOff>
          <xdr:row>46</xdr:row>
          <xdr:rowOff>809625</xdr:rowOff>
        </xdr:to>
        <xdr:sp macro="" textlink="">
          <xdr:nvSpPr>
            <xdr:cNvPr id="8330" name="Group Box 138" hidden="1">
              <a:extLst>
                <a:ext uri="{63B3BB69-23CF-44E3-9099-C40C66FF867C}">
                  <a14:compatExt spid="_x0000_s833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47</xdr:row>
          <xdr:rowOff>38100</xdr:rowOff>
        </xdr:from>
        <xdr:to>
          <xdr:col>1</xdr:col>
          <xdr:colOff>5667375</xdr:colOff>
          <xdr:row>47</xdr:row>
          <xdr:rowOff>809625</xdr:rowOff>
        </xdr:to>
        <xdr:sp macro="" textlink="">
          <xdr:nvSpPr>
            <xdr:cNvPr id="8331" name="Option Button 139" hidden="1">
              <a:extLst>
                <a:ext uri="{63B3BB69-23CF-44E3-9099-C40C66FF867C}">
                  <a14:compatExt spid="_x0000_s83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47</xdr:row>
          <xdr:rowOff>47625</xdr:rowOff>
        </xdr:from>
        <xdr:to>
          <xdr:col>4</xdr:col>
          <xdr:colOff>0</xdr:colOff>
          <xdr:row>48</xdr:row>
          <xdr:rowOff>0</xdr:rowOff>
        </xdr:to>
        <xdr:sp macro="" textlink="">
          <xdr:nvSpPr>
            <xdr:cNvPr id="8332" name="Option Button 140" hidden="1">
              <a:extLst>
                <a:ext uri="{63B3BB69-23CF-44E3-9099-C40C66FF867C}">
                  <a14:compatExt spid="_x0000_s83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47</xdr:row>
          <xdr:rowOff>19050</xdr:rowOff>
        </xdr:from>
        <xdr:to>
          <xdr:col>5</xdr:col>
          <xdr:colOff>19050</xdr:colOff>
          <xdr:row>48</xdr:row>
          <xdr:rowOff>0</xdr:rowOff>
        </xdr:to>
        <xdr:sp macro="" textlink="">
          <xdr:nvSpPr>
            <xdr:cNvPr id="8333" name="Group Box 141" hidden="1">
              <a:extLst>
                <a:ext uri="{63B3BB69-23CF-44E3-9099-C40C66FF867C}">
                  <a14:compatExt spid="_x0000_s833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48</xdr:row>
          <xdr:rowOff>28575</xdr:rowOff>
        </xdr:from>
        <xdr:to>
          <xdr:col>1</xdr:col>
          <xdr:colOff>5667375</xdr:colOff>
          <xdr:row>48</xdr:row>
          <xdr:rowOff>800100</xdr:rowOff>
        </xdr:to>
        <xdr:sp macro="" textlink="">
          <xdr:nvSpPr>
            <xdr:cNvPr id="8334" name="Option Button 142" hidden="1">
              <a:extLst>
                <a:ext uri="{63B3BB69-23CF-44E3-9099-C40C66FF867C}">
                  <a14:compatExt spid="_x0000_s83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48</xdr:row>
          <xdr:rowOff>38100</xdr:rowOff>
        </xdr:from>
        <xdr:to>
          <xdr:col>4</xdr:col>
          <xdr:colOff>0</xdr:colOff>
          <xdr:row>48</xdr:row>
          <xdr:rowOff>809625</xdr:rowOff>
        </xdr:to>
        <xdr:sp macro="" textlink="">
          <xdr:nvSpPr>
            <xdr:cNvPr id="8335" name="Option Button 143" hidden="1">
              <a:extLst>
                <a:ext uri="{63B3BB69-23CF-44E3-9099-C40C66FF867C}">
                  <a14:compatExt spid="_x0000_s83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48</xdr:row>
          <xdr:rowOff>9525</xdr:rowOff>
        </xdr:from>
        <xdr:to>
          <xdr:col>5</xdr:col>
          <xdr:colOff>19050</xdr:colOff>
          <xdr:row>48</xdr:row>
          <xdr:rowOff>809625</xdr:rowOff>
        </xdr:to>
        <xdr:sp macro="" textlink="">
          <xdr:nvSpPr>
            <xdr:cNvPr id="8336" name="Group Box 144" hidden="1">
              <a:extLst>
                <a:ext uri="{63B3BB69-23CF-44E3-9099-C40C66FF867C}">
                  <a14:compatExt spid="_x0000_s833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49</xdr:row>
          <xdr:rowOff>28575</xdr:rowOff>
        </xdr:from>
        <xdr:to>
          <xdr:col>1</xdr:col>
          <xdr:colOff>5667375</xdr:colOff>
          <xdr:row>49</xdr:row>
          <xdr:rowOff>800100</xdr:rowOff>
        </xdr:to>
        <xdr:sp macro="" textlink="">
          <xdr:nvSpPr>
            <xdr:cNvPr id="8337" name="Option Button 145" hidden="1">
              <a:extLst>
                <a:ext uri="{63B3BB69-23CF-44E3-9099-C40C66FF867C}">
                  <a14:compatExt spid="_x0000_s83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49</xdr:row>
          <xdr:rowOff>38100</xdr:rowOff>
        </xdr:from>
        <xdr:to>
          <xdr:col>4</xdr:col>
          <xdr:colOff>0</xdr:colOff>
          <xdr:row>49</xdr:row>
          <xdr:rowOff>809625</xdr:rowOff>
        </xdr:to>
        <xdr:sp macro="" textlink="">
          <xdr:nvSpPr>
            <xdr:cNvPr id="8338" name="Option Button 146" hidden="1">
              <a:extLst>
                <a:ext uri="{63B3BB69-23CF-44E3-9099-C40C66FF867C}">
                  <a14:compatExt spid="_x0000_s83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49</xdr:row>
          <xdr:rowOff>9525</xdr:rowOff>
        </xdr:from>
        <xdr:to>
          <xdr:col>5</xdr:col>
          <xdr:colOff>19050</xdr:colOff>
          <xdr:row>49</xdr:row>
          <xdr:rowOff>809625</xdr:rowOff>
        </xdr:to>
        <xdr:sp macro="" textlink="">
          <xdr:nvSpPr>
            <xdr:cNvPr id="8339" name="Group Box 147" hidden="1">
              <a:extLst>
                <a:ext uri="{63B3BB69-23CF-44E3-9099-C40C66FF867C}">
                  <a14:compatExt spid="_x0000_s833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50</xdr:row>
          <xdr:rowOff>19050</xdr:rowOff>
        </xdr:from>
        <xdr:to>
          <xdr:col>1</xdr:col>
          <xdr:colOff>5667375</xdr:colOff>
          <xdr:row>50</xdr:row>
          <xdr:rowOff>790575</xdr:rowOff>
        </xdr:to>
        <xdr:sp macro="" textlink="">
          <xdr:nvSpPr>
            <xdr:cNvPr id="8340" name="Option Button 148" hidden="1">
              <a:extLst>
                <a:ext uri="{63B3BB69-23CF-44E3-9099-C40C66FF867C}">
                  <a14:compatExt spid="_x0000_s8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50</xdr:row>
          <xdr:rowOff>28575</xdr:rowOff>
        </xdr:from>
        <xdr:to>
          <xdr:col>4</xdr:col>
          <xdr:colOff>0</xdr:colOff>
          <xdr:row>50</xdr:row>
          <xdr:rowOff>800100</xdr:rowOff>
        </xdr:to>
        <xdr:sp macro="" textlink="">
          <xdr:nvSpPr>
            <xdr:cNvPr id="8341" name="Option Button 149" hidden="1">
              <a:extLst>
                <a:ext uri="{63B3BB69-23CF-44E3-9099-C40C66FF867C}">
                  <a14:compatExt spid="_x0000_s83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50</xdr:row>
          <xdr:rowOff>0</xdr:rowOff>
        </xdr:from>
        <xdr:to>
          <xdr:col>5</xdr:col>
          <xdr:colOff>19050</xdr:colOff>
          <xdr:row>50</xdr:row>
          <xdr:rowOff>800100</xdr:rowOff>
        </xdr:to>
        <xdr:sp macro="" textlink="">
          <xdr:nvSpPr>
            <xdr:cNvPr id="8342" name="Group Box 150" hidden="1">
              <a:extLst>
                <a:ext uri="{63B3BB69-23CF-44E3-9099-C40C66FF867C}">
                  <a14:compatExt spid="_x0000_s83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51</xdr:row>
          <xdr:rowOff>19050</xdr:rowOff>
        </xdr:from>
        <xdr:to>
          <xdr:col>1</xdr:col>
          <xdr:colOff>5667375</xdr:colOff>
          <xdr:row>51</xdr:row>
          <xdr:rowOff>790575</xdr:rowOff>
        </xdr:to>
        <xdr:sp macro="" textlink="">
          <xdr:nvSpPr>
            <xdr:cNvPr id="8343" name="Option Button 151" hidden="1">
              <a:extLst>
                <a:ext uri="{63B3BB69-23CF-44E3-9099-C40C66FF867C}">
                  <a14:compatExt spid="_x0000_s83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51</xdr:row>
          <xdr:rowOff>28575</xdr:rowOff>
        </xdr:from>
        <xdr:to>
          <xdr:col>4</xdr:col>
          <xdr:colOff>0</xdr:colOff>
          <xdr:row>51</xdr:row>
          <xdr:rowOff>800100</xdr:rowOff>
        </xdr:to>
        <xdr:sp macro="" textlink="">
          <xdr:nvSpPr>
            <xdr:cNvPr id="8344" name="Option Button 152" hidden="1">
              <a:extLst>
                <a:ext uri="{63B3BB69-23CF-44E3-9099-C40C66FF867C}">
                  <a14:compatExt spid="_x0000_s83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51</xdr:row>
          <xdr:rowOff>0</xdr:rowOff>
        </xdr:from>
        <xdr:to>
          <xdr:col>5</xdr:col>
          <xdr:colOff>19050</xdr:colOff>
          <xdr:row>51</xdr:row>
          <xdr:rowOff>800100</xdr:rowOff>
        </xdr:to>
        <xdr:sp macro="" textlink="">
          <xdr:nvSpPr>
            <xdr:cNvPr id="8345" name="Group Box 153" hidden="1">
              <a:extLst>
                <a:ext uri="{63B3BB69-23CF-44E3-9099-C40C66FF867C}">
                  <a14:compatExt spid="_x0000_s83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52</xdr:row>
          <xdr:rowOff>28575</xdr:rowOff>
        </xdr:from>
        <xdr:to>
          <xdr:col>1</xdr:col>
          <xdr:colOff>5667375</xdr:colOff>
          <xdr:row>52</xdr:row>
          <xdr:rowOff>809625</xdr:rowOff>
        </xdr:to>
        <xdr:sp macro="" textlink="">
          <xdr:nvSpPr>
            <xdr:cNvPr id="8346" name="Option Button 154" hidden="1">
              <a:extLst>
                <a:ext uri="{63B3BB69-23CF-44E3-9099-C40C66FF867C}">
                  <a14:compatExt spid="_x0000_s83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52</xdr:row>
          <xdr:rowOff>38100</xdr:rowOff>
        </xdr:from>
        <xdr:to>
          <xdr:col>4</xdr:col>
          <xdr:colOff>0</xdr:colOff>
          <xdr:row>53</xdr:row>
          <xdr:rowOff>0</xdr:rowOff>
        </xdr:to>
        <xdr:sp macro="" textlink="">
          <xdr:nvSpPr>
            <xdr:cNvPr id="8347" name="Option Button 155" hidden="1">
              <a:extLst>
                <a:ext uri="{63B3BB69-23CF-44E3-9099-C40C66FF867C}">
                  <a14:compatExt spid="_x0000_s83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52</xdr:row>
          <xdr:rowOff>9525</xdr:rowOff>
        </xdr:from>
        <xdr:to>
          <xdr:col>5</xdr:col>
          <xdr:colOff>19050</xdr:colOff>
          <xdr:row>53</xdr:row>
          <xdr:rowOff>0</xdr:rowOff>
        </xdr:to>
        <xdr:sp macro="" textlink="">
          <xdr:nvSpPr>
            <xdr:cNvPr id="8348" name="Group Box 156" hidden="1">
              <a:extLst>
                <a:ext uri="{63B3BB69-23CF-44E3-9099-C40C66FF867C}">
                  <a14:compatExt spid="_x0000_s834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53</xdr:row>
          <xdr:rowOff>28575</xdr:rowOff>
        </xdr:from>
        <xdr:to>
          <xdr:col>1</xdr:col>
          <xdr:colOff>5667375</xdr:colOff>
          <xdr:row>53</xdr:row>
          <xdr:rowOff>800100</xdr:rowOff>
        </xdr:to>
        <xdr:sp macro="" textlink="">
          <xdr:nvSpPr>
            <xdr:cNvPr id="8349" name="Option Button 157" hidden="1">
              <a:extLst>
                <a:ext uri="{63B3BB69-23CF-44E3-9099-C40C66FF867C}">
                  <a14:compatExt spid="_x0000_s83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53</xdr:row>
          <xdr:rowOff>38100</xdr:rowOff>
        </xdr:from>
        <xdr:to>
          <xdr:col>4</xdr:col>
          <xdr:colOff>0</xdr:colOff>
          <xdr:row>53</xdr:row>
          <xdr:rowOff>809625</xdr:rowOff>
        </xdr:to>
        <xdr:sp macro="" textlink="">
          <xdr:nvSpPr>
            <xdr:cNvPr id="8350" name="Option Button 158" hidden="1">
              <a:extLst>
                <a:ext uri="{63B3BB69-23CF-44E3-9099-C40C66FF867C}">
                  <a14:compatExt spid="_x0000_s83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53</xdr:row>
          <xdr:rowOff>9525</xdr:rowOff>
        </xdr:from>
        <xdr:to>
          <xdr:col>5</xdr:col>
          <xdr:colOff>19050</xdr:colOff>
          <xdr:row>53</xdr:row>
          <xdr:rowOff>809625</xdr:rowOff>
        </xdr:to>
        <xdr:sp macro="" textlink="">
          <xdr:nvSpPr>
            <xdr:cNvPr id="8351" name="Group Box 159" hidden="1">
              <a:extLst>
                <a:ext uri="{63B3BB69-23CF-44E3-9099-C40C66FF867C}">
                  <a14:compatExt spid="_x0000_s835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54</xdr:row>
          <xdr:rowOff>28575</xdr:rowOff>
        </xdr:from>
        <xdr:to>
          <xdr:col>1</xdr:col>
          <xdr:colOff>5667375</xdr:colOff>
          <xdr:row>54</xdr:row>
          <xdr:rowOff>809625</xdr:rowOff>
        </xdr:to>
        <xdr:sp macro="" textlink="">
          <xdr:nvSpPr>
            <xdr:cNvPr id="8352" name="Option Button 160" hidden="1">
              <a:extLst>
                <a:ext uri="{63B3BB69-23CF-44E3-9099-C40C66FF867C}">
                  <a14:compatExt spid="_x0000_s83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54</xdr:row>
          <xdr:rowOff>38100</xdr:rowOff>
        </xdr:from>
        <xdr:to>
          <xdr:col>4</xdr:col>
          <xdr:colOff>0</xdr:colOff>
          <xdr:row>55</xdr:row>
          <xdr:rowOff>0</xdr:rowOff>
        </xdr:to>
        <xdr:sp macro="" textlink="">
          <xdr:nvSpPr>
            <xdr:cNvPr id="8353" name="Option Button 161" hidden="1">
              <a:extLst>
                <a:ext uri="{63B3BB69-23CF-44E3-9099-C40C66FF867C}">
                  <a14:compatExt spid="_x0000_s83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54</xdr:row>
          <xdr:rowOff>9525</xdr:rowOff>
        </xdr:from>
        <xdr:to>
          <xdr:col>5</xdr:col>
          <xdr:colOff>19050</xdr:colOff>
          <xdr:row>55</xdr:row>
          <xdr:rowOff>0</xdr:rowOff>
        </xdr:to>
        <xdr:sp macro="" textlink="">
          <xdr:nvSpPr>
            <xdr:cNvPr id="8354" name="Group Box 162" hidden="1">
              <a:extLst>
                <a:ext uri="{63B3BB69-23CF-44E3-9099-C40C66FF867C}">
                  <a14:compatExt spid="_x0000_s835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28575</xdr:rowOff>
        </xdr:from>
        <xdr:to>
          <xdr:col>1</xdr:col>
          <xdr:colOff>5676900</xdr:colOff>
          <xdr:row>55</xdr:row>
          <xdr:rowOff>800100</xdr:rowOff>
        </xdr:to>
        <xdr:sp macro="" textlink="">
          <xdr:nvSpPr>
            <xdr:cNvPr id="8355" name="Option Button 163" hidden="1">
              <a:extLst>
                <a:ext uri="{63B3BB69-23CF-44E3-9099-C40C66FF867C}">
                  <a14:compatExt spid="_x0000_s83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55</xdr:row>
          <xdr:rowOff>38100</xdr:rowOff>
        </xdr:from>
        <xdr:to>
          <xdr:col>5</xdr:col>
          <xdr:colOff>9525</xdr:colOff>
          <xdr:row>55</xdr:row>
          <xdr:rowOff>809625</xdr:rowOff>
        </xdr:to>
        <xdr:sp macro="" textlink="">
          <xdr:nvSpPr>
            <xdr:cNvPr id="8356" name="Option Button 164" hidden="1">
              <a:extLst>
                <a:ext uri="{63B3BB69-23CF-44E3-9099-C40C66FF867C}">
                  <a14:compatExt spid="_x0000_s83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9525</xdr:rowOff>
        </xdr:from>
        <xdr:to>
          <xdr:col>5</xdr:col>
          <xdr:colOff>28575</xdr:colOff>
          <xdr:row>55</xdr:row>
          <xdr:rowOff>809625</xdr:rowOff>
        </xdr:to>
        <xdr:sp macro="" textlink="">
          <xdr:nvSpPr>
            <xdr:cNvPr id="8357" name="Group Box 165" hidden="1">
              <a:extLst>
                <a:ext uri="{63B3BB69-23CF-44E3-9099-C40C66FF867C}">
                  <a14:compatExt spid="_x0000_s835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56</xdr:row>
          <xdr:rowOff>28575</xdr:rowOff>
        </xdr:from>
        <xdr:to>
          <xdr:col>1</xdr:col>
          <xdr:colOff>5667375</xdr:colOff>
          <xdr:row>56</xdr:row>
          <xdr:rowOff>800100</xdr:rowOff>
        </xdr:to>
        <xdr:sp macro="" textlink="">
          <xdr:nvSpPr>
            <xdr:cNvPr id="8358" name="Option Button 166" hidden="1">
              <a:extLst>
                <a:ext uri="{63B3BB69-23CF-44E3-9099-C40C66FF867C}">
                  <a14:compatExt spid="_x0000_s83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56</xdr:row>
          <xdr:rowOff>38100</xdr:rowOff>
        </xdr:from>
        <xdr:to>
          <xdr:col>4</xdr:col>
          <xdr:colOff>0</xdr:colOff>
          <xdr:row>56</xdr:row>
          <xdr:rowOff>809625</xdr:rowOff>
        </xdr:to>
        <xdr:sp macro="" textlink="">
          <xdr:nvSpPr>
            <xdr:cNvPr id="8359" name="Option Button 167" hidden="1">
              <a:extLst>
                <a:ext uri="{63B3BB69-23CF-44E3-9099-C40C66FF867C}">
                  <a14:compatExt spid="_x0000_s83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56</xdr:row>
          <xdr:rowOff>9525</xdr:rowOff>
        </xdr:from>
        <xdr:to>
          <xdr:col>5</xdr:col>
          <xdr:colOff>19050</xdr:colOff>
          <xdr:row>56</xdr:row>
          <xdr:rowOff>809625</xdr:rowOff>
        </xdr:to>
        <xdr:sp macro="" textlink="">
          <xdr:nvSpPr>
            <xdr:cNvPr id="8360" name="Group Box 168" hidden="1">
              <a:extLst>
                <a:ext uri="{63B3BB69-23CF-44E3-9099-C40C66FF867C}">
                  <a14:compatExt spid="_x0000_s836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38100</xdr:rowOff>
        </xdr:from>
        <xdr:to>
          <xdr:col>1</xdr:col>
          <xdr:colOff>5667375</xdr:colOff>
          <xdr:row>57</xdr:row>
          <xdr:rowOff>809625</xdr:rowOff>
        </xdr:to>
        <xdr:sp macro="" textlink="">
          <xdr:nvSpPr>
            <xdr:cNvPr id="8361" name="Option Button 169" hidden="1">
              <a:extLst>
                <a:ext uri="{63B3BB69-23CF-44E3-9099-C40C66FF867C}">
                  <a14:compatExt spid="_x0000_s83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57</xdr:row>
          <xdr:rowOff>47625</xdr:rowOff>
        </xdr:from>
        <xdr:to>
          <xdr:col>4</xdr:col>
          <xdr:colOff>0</xdr:colOff>
          <xdr:row>58</xdr:row>
          <xdr:rowOff>0</xdr:rowOff>
        </xdr:to>
        <xdr:sp macro="" textlink="">
          <xdr:nvSpPr>
            <xdr:cNvPr id="8362" name="Option Button 170" hidden="1">
              <a:extLst>
                <a:ext uri="{63B3BB69-23CF-44E3-9099-C40C66FF867C}">
                  <a14:compatExt spid="_x0000_s83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19050</xdr:rowOff>
        </xdr:from>
        <xdr:to>
          <xdr:col>5</xdr:col>
          <xdr:colOff>19050</xdr:colOff>
          <xdr:row>58</xdr:row>
          <xdr:rowOff>0</xdr:rowOff>
        </xdr:to>
        <xdr:sp macro="" textlink="">
          <xdr:nvSpPr>
            <xdr:cNvPr id="8363" name="Group Box 171" hidden="1">
              <a:extLst>
                <a:ext uri="{63B3BB69-23CF-44E3-9099-C40C66FF867C}">
                  <a14:compatExt spid="_x0000_s836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28575</xdr:rowOff>
        </xdr:from>
        <xdr:to>
          <xdr:col>1</xdr:col>
          <xdr:colOff>5667375</xdr:colOff>
          <xdr:row>58</xdr:row>
          <xdr:rowOff>800100</xdr:rowOff>
        </xdr:to>
        <xdr:sp macro="" textlink="">
          <xdr:nvSpPr>
            <xdr:cNvPr id="8364" name="Option Button 172" hidden="1">
              <a:extLst>
                <a:ext uri="{63B3BB69-23CF-44E3-9099-C40C66FF867C}">
                  <a14:compatExt spid="_x0000_s83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58</xdr:row>
          <xdr:rowOff>38100</xdr:rowOff>
        </xdr:from>
        <xdr:to>
          <xdr:col>4</xdr:col>
          <xdr:colOff>0</xdr:colOff>
          <xdr:row>58</xdr:row>
          <xdr:rowOff>809625</xdr:rowOff>
        </xdr:to>
        <xdr:sp macro="" textlink="">
          <xdr:nvSpPr>
            <xdr:cNvPr id="8365" name="Option Button 173" hidden="1">
              <a:extLst>
                <a:ext uri="{63B3BB69-23CF-44E3-9099-C40C66FF867C}">
                  <a14:compatExt spid="_x0000_s83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9525</xdr:rowOff>
        </xdr:from>
        <xdr:to>
          <xdr:col>5</xdr:col>
          <xdr:colOff>19050</xdr:colOff>
          <xdr:row>58</xdr:row>
          <xdr:rowOff>809625</xdr:rowOff>
        </xdr:to>
        <xdr:sp macro="" textlink="">
          <xdr:nvSpPr>
            <xdr:cNvPr id="8366" name="Group Box 174" hidden="1">
              <a:extLst>
                <a:ext uri="{63B3BB69-23CF-44E3-9099-C40C66FF867C}">
                  <a14:compatExt spid="_x0000_s836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28575</xdr:rowOff>
        </xdr:from>
        <xdr:to>
          <xdr:col>1</xdr:col>
          <xdr:colOff>5667375</xdr:colOff>
          <xdr:row>59</xdr:row>
          <xdr:rowOff>800100</xdr:rowOff>
        </xdr:to>
        <xdr:sp macro="" textlink="">
          <xdr:nvSpPr>
            <xdr:cNvPr id="8367" name="Option Button 175" hidden="1">
              <a:extLst>
                <a:ext uri="{63B3BB69-23CF-44E3-9099-C40C66FF867C}">
                  <a14:compatExt spid="_x0000_s83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59</xdr:row>
          <xdr:rowOff>38100</xdr:rowOff>
        </xdr:from>
        <xdr:to>
          <xdr:col>4</xdr:col>
          <xdr:colOff>0</xdr:colOff>
          <xdr:row>59</xdr:row>
          <xdr:rowOff>809625</xdr:rowOff>
        </xdr:to>
        <xdr:sp macro="" textlink="">
          <xdr:nvSpPr>
            <xdr:cNvPr id="8368" name="Option Button 176" hidden="1">
              <a:extLst>
                <a:ext uri="{63B3BB69-23CF-44E3-9099-C40C66FF867C}">
                  <a14:compatExt spid="_x0000_s83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9525</xdr:rowOff>
        </xdr:from>
        <xdr:to>
          <xdr:col>5</xdr:col>
          <xdr:colOff>19050</xdr:colOff>
          <xdr:row>59</xdr:row>
          <xdr:rowOff>809625</xdr:rowOff>
        </xdr:to>
        <xdr:sp macro="" textlink="">
          <xdr:nvSpPr>
            <xdr:cNvPr id="8369" name="Group Box 177" hidden="1">
              <a:extLst>
                <a:ext uri="{63B3BB69-23CF-44E3-9099-C40C66FF867C}">
                  <a14:compatExt spid="_x0000_s83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19050</xdr:rowOff>
        </xdr:from>
        <xdr:to>
          <xdr:col>1</xdr:col>
          <xdr:colOff>5667375</xdr:colOff>
          <xdr:row>60</xdr:row>
          <xdr:rowOff>790575</xdr:rowOff>
        </xdr:to>
        <xdr:sp macro="" textlink="">
          <xdr:nvSpPr>
            <xdr:cNvPr id="8370" name="Option Button 178" hidden="1">
              <a:extLst>
                <a:ext uri="{63B3BB69-23CF-44E3-9099-C40C66FF867C}">
                  <a14:compatExt spid="_x0000_s83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60</xdr:row>
          <xdr:rowOff>28575</xdr:rowOff>
        </xdr:from>
        <xdr:to>
          <xdr:col>4</xdr:col>
          <xdr:colOff>0</xdr:colOff>
          <xdr:row>60</xdr:row>
          <xdr:rowOff>800100</xdr:rowOff>
        </xdr:to>
        <xdr:sp macro="" textlink="">
          <xdr:nvSpPr>
            <xdr:cNvPr id="8371" name="Option Button 179" hidden="1">
              <a:extLst>
                <a:ext uri="{63B3BB69-23CF-44E3-9099-C40C66FF867C}">
                  <a14:compatExt spid="_x0000_s83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5</xdr:col>
          <xdr:colOff>19050</xdr:colOff>
          <xdr:row>60</xdr:row>
          <xdr:rowOff>800100</xdr:rowOff>
        </xdr:to>
        <xdr:sp macro="" textlink="">
          <xdr:nvSpPr>
            <xdr:cNvPr id="8372" name="Group Box 180" hidden="1">
              <a:extLst>
                <a:ext uri="{63B3BB69-23CF-44E3-9099-C40C66FF867C}">
                  <a14:compatExt spid="_x0000_s83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oneCellAnchor>
    <xdr:from>
      <xdr:col>1</xdr:col>
      <xdr:colOff>4457700</xdr:colOff>
      <xdr:row>63</xdr:row>
      <xdr:rowOff>257175</xdr:rowOff>
    </xdr:from>
    <xdr:ext cx="3019425" cy="636889"/>
    <xdr:sp macro="[0]!ThisWorkbook.Complete_Test" textlink="">
      <xdr:nvSpPr>
        <xdr:cNvPr id="2" name="Rounded Rectangle 1"/>
        <xdr:cNvSpPr/>
      </xdr:nvSpPr>
      <xdr:spPr>
        <a:xfrm>
          <a:off x="5257800" y="50253900"/>
          <a:ext cx="3019425" cy="6368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noAutofit/>
        </a:bodyPr>
        <a:lstStyle/>
        <a:p>
          <a:pPr algn="ctr"/>
          <a:r>
            <a:rPr lang="ru-RU" sz="2000"/>
            <a:t>Завершить тест</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8</xdr:row>
          <xdr:rowOff>0</xdr:rowOff>
        </xdr:from>
        <xdr:to>
          <xdr:col>7</xdr:col>
          <xdr:colOff>9525</xdr:colOff>
          <xdr:row>9</xdr:row>
          <xdr:rowOff>57150</xdr:rowOff>
        </xdr:to>
        <xdr:sp macro="" textlink="">
          <xdr:nvSpPr>
            <xdr:cNvPr id="1026" name="Pupil_List"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9525</xdr:rowOff>
        </xdr:from>
        <xdr:to>
          <xdr:col>7</xdr:col>
          <xdr:colOff>9525</xdr:colOff>
          <xdr:row>4</xdr:row>
          <xdr:rowOff>66675</xdr:rowOff>
        </xdr:to>
        <xdr:sp macro="" textlink="">
          <xdr:nvSpPr>
            <xdr:cNvPr id="1027" name="Group_List"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11</xdr:row>
          <xdr:rowOff>0</xdr:rowOff>
        </xdr:from>
        <xdr:to>
          <xdr:col>6</xdr:col>
          <xdr:colOff>600075</xdr:colOff>
          <xdr:row>13</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Начать тест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0</xdr:rowOff>
        </xdr:from>
        <xdr:to>
          <xdr:col>7</xdr:col>
          <xdr:colOff>0</xdr:colOff>
          <xdr:row>17</xdr:row>
          <xdr:rowOff>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модуль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466725</xdr:colOff>
          <xdr:row>23</xdr:row>
          <xdr:rowOff>28575</xdr:rowOff>
        </xdr:from>
        <xdr:to>
          <xdr:col>17</xdr:col>
          <xdr:colOff>352425</xdr:colOff>
          <xdr:row>28</xdr:row>
          <xdr:rowOff>38100</xdr:rowOff>
        </xdr:to>
        <xdr:sp macro="" textlink="">
          <xdr:nvSpPr>
            <xdr:cNvPr id="7169" name="TestRanges"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400050</xdr:colOff>
          <xdr:row>6</xdr:row>
          <xdr:rowOff>152400</xdr:rowOff>
        </xdr:from>
        <xdr:to>
          <xdr:col>14</xdr:col>
          <xdr:colOff>400050</xdr:colOff>
          <xdr:row>8</xdr:row>
          <xdr:rowOff>161925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Завершить тест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447675</xdr:colOff>
          <xdr:row>17</xdr:row>
          <xdr:rowOff>0</xdr:rowOff>
        </xdr:from>
        <xdr:to>
          <xdr:col>17</xdr:col>
          <xdr:colOff>333375</xdr:colOff>
          <xdr:row>22</xdr:row>
          <xdr:rowOff>9525</xdr:rowOff>
        </xdr:to>
        <xdr:sp macro="" textlink="">
          <xdr:nvSpPr>
            <xdr:cNvPr id="7171" name="CommandButton1"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72" Type="http://schemas.openxmlformats.org/officeDocument/2006/relationships/ctrlProp" Target="../ctrlProps/ctrlProp169.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 Type="http://schemas.openxmlformats.org/officeDocument/2006/relationships/printerSettings" Target="../printerSettings/printerSettings1.bin"/><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81.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18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3.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62"/>
  <sheetViews>
    <sheetView showGridLines="0" showRowColHeaders="0" zoomScaleNormal="100" workbookViewId="0">
      <selection activeCell="B1" sqref="B1"/>
    </sheetView>
  </sheetViews>
  <sheetFormatPr defaultRowHeight="21" x14ac:dyDescent="0.25"/>
  <cols>
    <col min="1" max="1" width="12" style="1" customWidth="1"/>
    <col min="2" max="2" width="85.7109375" style="2" customWidth="1"/>
    <col min="3" max="3" width="7.7109375" style="3" customWidth="1"/>
    <col min="4" max="4" width="85.140625" style="2" customWidth="1"/>
    <col min="5" max="5" width="9.140625" style="4" hidden="1" customWidth="1"/>
    <col min="6" max="16384" width="9.140625" style="5"/>
  </cols>
  <sheetData>
    <row r="1" spans="1:5" ht="24.75" customHeight="1" thickBot="1" x14ac:dyDescent="0.3"/>
    <row r="2" spans="1:5" ht="65.099999999999994" customHeight="1" thickBot="1" x14ac:dyDescent="0.3">
      <c r="A2" s="1">
        <v>1</v>
      </c>
      <c r="B2" s="6" t="s">
        <v>2</v>
      </c>
      <c r="C2" s="7" t="s">
        <v>3</v>
      </c>
      <c r="D2" s="8" t="s">
        <v>4</v>
      </c>
      <c r="E2" s="38">
        <v>1</v>
      </c>
    </row>
    <row r="3" spans="1:5" ht="65.099999999999994" customHeight="1" thickBot="1" x14ac:dyDescent="0.3">
      <c r="A3" s="1">
        <v>2</v>
      </c>
      <c r="B3" s="6" t="s">
        <v>5</v>
      </c>
      <c r="C3" s="7" t="s">
        <v>3</v>
      </c>
      <c r="D3" s="8" t="s">
        <v>6</v>
      </c>
      <c r="E3" s="38">
        <v>1</v>
      </c>
    </row>
    <row r="4" spans="1:5" ht="65.099999999999994" customHeight="1" thickBot="1" x14ac:dyDescent="0.3">
      <c r="A4" s="1">
        <v>3</v>
      </c>
      <c r="B4" s="6" t="s">
        <v>7</v>
      </c>
      <c r="C4" s="7" t="s">
        <v>3</v>
      </c>
      <c r="D4" s="8" t="s">
        <v>8</v>
      </c>
      <c r="E4" s="38">
        <v>1</v>
      </c>
    </row>
    <row r="5" spans="1:5" ht="65.099999999999994" customHeight="1" thickBot="1" x14ac:dyDescent="0.3">
      <c r="A5" s="1">
        <v>4</v>
      </c>
      <c r="B5" s="6" t="s">
        <v>9</v>
      </c>
      <c r="C5" s="7" t="s">
        <v>3</v>
      </c>
      <c r="D5" s="8" t="s">
        <v>10</v>
      </c>
      <c r="E5" s="38">
        <v>1</v>
      </c>
    </row>
    <row r="6" spans="1:5" ht="65.099999999999994" customHeight="1" thickBot="1" x14ac:dyDescent="0.3">
      <c r="A6" s="1">
        <v>5</v>
      </c>
      <c r="B6" s="6" t="s">
        <v>11</v>
      </c>
      <c r="C6" s="7" t="s">
        <v>3</v>
      </c>
      <c r="D6" s="8" t="s">
        <v>12</v>
      </c>
      <c r="E6" s="38">
        <v>1</v>
      </c>
    </row>
    <row r="7" spans="1:5" ht="65.099999999999994" customHeight="1" thickBot="1" x14ac:dyDescent="0.3">
      <c r="A7" s="1">
        <v>6</v>
      </c>
      <c r="B7" s="6" t="s">
        <v>13</v>
      </c>
      <c r="C7" s="7" t="s">
        <v>3</v>
      </c>
      <c r="D7" s="8" t="s">
        <v>14</v>
      </c>
      <c r="E7" s="38">
        <v>1</v>
      </c>
    </row>
    <row r="8" spans="1:5" ht="65.099999999999994" customHeight="1" thickBot="1" x14ac:dyDescent="0.3">
      <c r="A8" s="1">
        <v>7</v>
      </c>
      <c r="B8" s="6" t="s">
        <v>15</v>
      </c>
      <c r="C8" s="7" t="s">
        <v>3</v>
      </c>
      <c r="D8" s="8" t="s">
        <v>16</v>
      </c>
      <c r="E8" s="38">
        <v>1</v>
      </c>
    </row>
    <row r="9" spans="1:5" ht="65.099999999999994" customHeight="1" thickBot="1" x14ac:dyDescent="0.3">
      <c r="A9" s="1">
        <v>8</v>
      </c>
      <c r="B9" s="6" t="s">
        <v>17</v>
      </c>
      <c r="C9" s="7" t="s">
        <v>3</v>
      </c>
      <c r="D9" s="8" t="s">
        <v>18</v>
      </c>
      <c r="E9" s="38">
        <v>1</v>
      </c>
    </row>
    <row r="10" spans="1:5" ht="65.099999999999994" customHeight="1" thickBot="1" x14ac:dyDescent="0.3">
      <c r="A10" s="1">
        <v>9</v>
      </c>
      <c r="B10" s="6" t="s">
        <v>19</v>
      </c>
      <c r="C10" s="7" t="s">
        <v>3</v>
      </c>
      <c r="D10" s="8" t="s">
        <v>20</v>
      </c>
      <c r="E10" s="38">
        <v>1</v>
      </c>
    </row>
    <row r="11" spans="1:5" ht="65.099999999999994" customHeight="1" thickBot="1" x14ac:dyDescent="0.3">
      <c r="A11" s="1">
        <v>10</v>
      </c>
      <c r="B11" s="6" t="s">
        <v>21</v>
      </c>
      <c r="C11" s="7" t="s">
        <v>3</v>
      </c>
      <c r="D11" s="8" t="s">
        <v>22</v>
      </c>
      <c r="E11" s="38">
        <v>1</v>
      </c>
    </row>
    <row r="12" spans="1:5" ht="65.099999999999994" customHeight="1" thickBot="1" x14ac:dyDescent="0.3">
      <c r="A12" s="1">
        <v>11</v>
      </c>
      <c r="B12" s="6" t="s">
        <v>23</v>
      </c>
      <c r="C12" s="7" t="s">
        <v>3</v>
      </c>
      <c r="D12" s="8" t="s">
        <v>24</v>
      </c>
      <c r="E12" s="38">
        <v>1</v>
      </c>
    </row>
    <row r="13" spans="1:5" ht="65.099999999999994" customHeight="1" thickBot="1" x14ac:dyDescent="0.3">
      <c r="A13" s="1">
        <v>12</v>
      </c>
      <c r="B13" s="6" t="s">
        <v>25</v>
      </c>
      <c r="C13" s="7" t="s">
        <v>3</v>
      </c>
      <c r="D13" s="8" t="s">
        <v>26</v>
      </c>
      <c r="E13" s="38">
        <v>1</v>
      </c>
    </row>
    <row r="14" spans="1:5" ht="65.099999999999994" customHeight="1" thickBot="1" x14ac:dyDescent="0.3">
      <c r="A14" s="1">
        <v>13</v>
      </c>
      <c r="B14" s="6" t="s">
        <v>27</v>
      </c>
      <c r="C14" s="7" t="s">
        <v>3</v>
      </c>
      <c r="D14" s="8" t="s">
        <v>28</v>
      </c>
      <c r="E14" s="38">
        <v>1</v>
      </c>
    </row>
    <row r="15" spans="1:5" ht="65.099999999999994" customHeight="1" thickBot="1" x14ac:dyDescent="0.3">
      <c r="A15" s="1">
        <v>14</v>
      </c>
      <c r="B15" s="6" t="s">
        <v>29</v>
      </c>
      <c r="C15" s="7" t="s">
        <v>3</v>
      </c>
      <c r="D15" s="8" t="s">
        <v>30</v>
      </c>
      <c r="E15" s="38">
        <v>1</v>
      </c>
    </row>
    <row r="16" spans="1:5" ht="65.099999999999994" customHeight="1" thickBot="1" x14ac:dyDescent="0.3">
      <c r="A16" s="1">
        <v>15</v>
      </c>
      <c r="B16" s="6" t="s">
        <v>31</v>
      </c>
      <c r="C16" s="7" t="s">
        <v>3</v>
      </c>
      <c r="D16" s="8" t="s">
        <v>32</v>
      </c>
      <c r="E16" s="38">
        <v>1</v>
      </c>
    </row>
    <row r="17" spans="1:5" ht="65.099999999999994" customHeight="1" thickBot="1" x14ac:dyDescent="0.3">
      <c r="A17" s="1">
        <v>16</v>
      </c>
      <c r="B17" s="6" t="s">
        <v>33</v>
      </c>
      <c r="C17" s="7" t="s">
        <v>3</v>
      </c>
      <c r="D17" s="8" t="s">
        <v>34</v>
      </c>
      <c r="E17" s="38">
        <v>1</v>
      </c>
    </row>
    <row r="18" spans="1:5" ht="65.099999999999994" customHeight="1" thickBot="1" x14ac:dyDescent="0.3">
      <c r="A18" s="1">
        <v>17</v>
      </c>
      <c r="B18" s="6" t="s">
        <v>35</v>
      </c>
      <c r="C18" s="7" t="s">
        <v>3</v>
      </c>
      <c r="D18" s="8" t="s">
        <v>36</v>
      </c>
      <c r="E18" s="38">
        <v>1</v>
      </c>
    </row>
    <row r="19" spans="1:5" ht="65.099999999999994" customHeight="1" thickBot="1" x14ac:dyDescent="0.3">
      <c r="A19" s="1">
        <v>18</v>
      </c>
      <c r="B19" s="6" t="s">
        <v>37</v>
      </c>
      <c r="C19" s="7" t="s">
        <v>3</v>
      </c>
      <c r="D19" s="8" t="s">
        <v>38</v>
      </c>
      <c r="E19" s="38">
        <v>1</v>
      </c>
    </row>
    <row r="20" spans="1:5" ht="65.099999999999994" customHeight="1" thickBot="1" x14ac:dyDescent="0.3">
      <c r="A20" s="1">
        <v>19</v>
      </c>
      <c r="B20" s="6" t="s">
        <v>39</v>
      </c>
      <c r="C20" s="7" t="s">
        <v>3</v>
      </c>
      <c r="D20" s="8" t="s">
        <v>40</v>
      </c>
      <c r="E20" s="38">
        <v>1</v>
      </c>
    </row>
    <row r="21" spans="1:5" ht="65.099999999999994" customHeight="1" thickBot="1" x14ac:dyDescent="0.3">
      <c r="A21" s="1">
        <v>20</v>
      </c>
      <c r="B21" s="6" t="s">
        <v>41</v>
      </c>
      <c r="C21" s="7" t="s">
        <v>3</v>
      </c>
      <c r="D21" s="8" t="s">
        <v>42</v>
      </c>
      <c r="E21" s="38">
        <v>1</v>
      </c>
    </row>
    <row r="22" spans="1:5" ht="65.099999999999994" customHeight="1" thickBot="1" x14ac:dyDescent="0.3">
      <c r="A22" s="1">
        <v>21</v>
      </c>
      <c r="B22" s="6" t="s">
        <v>43</v>
      </c>
      <c r="C22" s="7" t="s">
        <v>3</v>
      </c>
      <c r="D22" s="8" t="s">
        <v>44</v>
      </c>
      <c r="E22" s="38">
        <v>1</v>
      </c>
    </row>
    <row r="23" spans="1:5" ht="65.099999999999994" customHeight="1" thickBot="1" x14ac:dyDescent="0.3">
      <c r="A23" s="1">
        <v>22</v>
      </c>
      <c r="B23" s="6" t="s">
        <v>45</v>
      </c>
      <c r="C23" s="7" t="s">
        <v>3</v>
      </c>
      <c r="D23" s="8" t="s">
        <v>46</v>
      </c>
      <c r="E23" s="38">
        <v>1</v>
      </c>
    </row>
    <row r="24" spans="1:5" ht="65.099999999999994" customHeight="1" thickBot="1" x14ac:dyDescent="0.3">
      <c r="A24" s="1">
        <v>23</v>
      </c>
      <c r="B24" s="6" t="s">
        <v>47</v>
      </c>
      <c r="C24" s="7" t="s">
        <v>3</v>
      </c>
      <c r="D24" s="8" t="s">
        <v>48</v>
      </c>
      <c r="E24" s="38">
        <v>1</v>
      </c>
    </row>
    <row r="25" spans="1:5" ht="65.099999999999994" customHeight="1" thickBot="1" x14ac:dyDescent="0.3">
      <c r="A25" s="1">
        <v>24</v>
      </c>
      <c r="B25" s="6" t="s">
        <v>49</v>
      </c>
      <c r="C25" s="7" t="s">
        <v>3</v>
      </c>
      <c r="D25" s="8" t="s">
        <v>50</v>
      </c>
      <c r="E25" s="38">
        <v>1</v>
      </c>
    </row>
    <row r="26" spans="1:5" ht="65.099999999999994" customHeight="1" thickBot="1" x14ac:dyDescent="0.3">
      <c r="A26" s="1">
        <v>25</v>
      </c>
      <c r="B26" s="6" t="s">
        <v>51</v>
      </c>
      <c r="C26" s="7" t="s">
        <v>3</v>
      </c>
      <c r="D26" s="8" t="s">
        <v>52</v>
      </c>
      <c r="E26" s="38">
        <v>1</v>
      </c>
    </row>
    <row r="27" spans="1:5" ht="65.099999999999994" customHeight="1" thickBot="1" x14ac:dyDescent="0.3">
      <c r="A27" s="1">
        <v>26</v>
      </c>
      <c r="B27" s="6" t="s">
        <v>53</v>
      </c>
      <c r="C27" s="7" t="s">
        <v>3</v>
      </c>
      <c r="D27" s="8" t="s">
        <v>54</v>
      </c>
      <c r="E27" s="38">
        <v>1</v>
      </c>
    </row>
    <row r="28" spans="1:5" ht="65.099999999999994" customHeight="1" thickBot="1" x14ac:dyDescent="0.3">
      <c r="A28" s="1">
        <v>27</v>
      </c>
      <c r="B28" s="6" t="s">
        <v>55</v>
      </c>
      <c r="C28" s="7" t="s">
        <v>3</v>
      </c>
      <c r="D28" s="8" t="s">
        <v>56</v>
      </c>
      <c r="E28" s="38">
        <v>1</v>
      </c>
    </row>
    <row r="29" spans="1:5" ht="65.099999999999994" customHeight="1" thickBot="1" x14ac:dyDescent="0.3">
      <c r="A29" s="1">
        <v>28</v>
      </c>
      <c r="B29" s="6" t="s">
        <v>57</v>
      </c>
      <c r="C29" s="7" t="s">
        <v>3</v>
      </c>
      <c r="D29" s="8" t="s">
        <v>58</v>
      </c>
      <c r="E29" s="38">
        <v>1</v>
      </c>
    </row>
    <row r="30" spans="1:5" ht="65.099999999999994" customHeight="1" thickBot="1" x14ac:dyDescent="0.3">
      <c r="A30" s="1">
        <v>29</v>
      </c>
      <c r="B30" s="6" t="s">
        <v>59</v>
      </c>
      <c r="C30" s="7" t="s">
        <v>3</v>
      </c>
      <c r="D30" s="8" t="s">
        <v>60</v>
      </c>
      <c r="E30" s="38">
        <v>1</v>
      </c>
    </row>
    <row r="31" spans="1:5" ht="65.099999999999994" customHeight="1" thickBot="1" x14ac:dyDescent="0.3">
      <c r="A31" s="1">
        <v>30</v>
      </c>
      <c r="B31" s="6" t="s">
        <v>61</v>
      </c>
      <c r="C31" s="7" t="s">
        <v>3</v>
      </c>
      <c r="D31" s="8" t="s">
        <v>62</v>
      </c>
      <c r="E31" s="38">
        <v>1</v>
      </c>
    </row>
    <row r="32" spans="1:5" ht="65.099999999999994" customHeight="1" thickBot="1" x14ac:dyDescent="0.3">
      <c r="A32" s="1">
        <v>31</v>
      </c>
      <c r="B32" s="6" t="s">
        <v>63</v>
      </c>
      <c r="C32" s="7" t="s">
        <v>3</v>
      </c>
      <c r="D32" s="8" t="s">
        <v>64</v>
      </c>
      <c r="E32" s="38">
        <v>1</v>
      </c>
    </row>
    <row r="33" spans="1:5" ht="65.099999999999994" customHeight="1" thickBot="1" x14ac:dyDescent="0.3">
      <c r="A33" s="1">
        <v>32</v>
      </c>
      <c r="B33" s="6" t="s">
        <v>65</v>
      </c>
      <c r="C33" s="7" t="s">
        <v>3</v>
      </c>
      <c r="D33" s="8" t="s">
        <v>66</v>
      </c>
      <c r="E33" s="38">
        <v>1</v>
      </c>
    </row>
    <row r="34" spans="1:5" ht="65.099999999999994" customHeight="1" thickBot="1" x14ac:dyDescent="0.3">
      <c r="A34" s="1">
        <v>33</v>
      </c>
      <c r="B34" s="6" t="s">
        <v>67</v>
      </c>
      <c r="C34" s="7" t="s">
        <v>3</v>
      </c>
      <c r="D34" s="8" t="s">
        <v>68</v>
      </c>
      <c r="E34" s="38">
        <v>1</v>
      </c>
    </row>
    <row r="35" spans="1:5" ht="65.099999999999994" customHeight="1" thickBot="1" x14ac:dyDescent="0.3">
      <c r="A35" s="1">
        <v>34</v>
      </c>
      <c r="B35" s="6" t="s">
        <v>69</v>
      </c>
      <c r="C35" s="7" t="s">
        <v>3</v>
      </c>
      <c r="D35" s="8" t="s">
        <v>70</v>
      </c>
      <c r="E35" s="38">
        <v>1</v>
      </c>
    </row>
    <row r="36" spans="1:5" ht="65.099999999999994" customHeight="1" thickBot="1" x14ac:dyDescent="0.3">
      <c r="A36" s="1">
        <v>35</v>
      </c>
      <c r="B36" s="6" t="s">
        <v>71</v>
      </c>
      <c r="C36" s="7" t="s">
        <v>3</v>
      </c>
      <c r="D36" s="8" t="s">
        <v>72</v>
      </c>
      <c r="E36" s="38">
        <v>1</v>
      </c>
    </row>
    <row r="37" spans="1:5" ht="65.099999999999994" customHeight="1" thickBot="1" x14ac:dyDescent="0.3">
      <c r="A37" s="1">
        <v>36</v>
      </c>
      <c r="B37" s="6" t="s">
        <v>73</v>
      </c>
      <c r="C37" s="7" t="s">
        <v>3</v>
      </c>
      <c r="D37" s="8" t="s">
        <v>74</v>
      </c>
      <c r="E37" s="38">
        <v>1</v>
      </c>
    </row>
    <row r="38" spans="1:5" ht="65.099999999999994" customHeight="1" thickBot="1" x14ac:dyDescent="0.3">
      <c r="A38" s="1">
        <v>37</v>
      </c>
      <c r="B38" s="6" t="s">
        <v>75</v>
      </c>
      <c r="C38" s="7" t="s">
        <v>3</v>
      </c>
      <c r="D38" s="8" t="s">
        <v>76</v>
      </c>
      <c r="E38" s="38">
        <v>1</v>
      </c>
    </row>
    <row r="39" spans="1:5" ht="65.099999999999994" customHeight="1" thickBot="1" x14ac:dyDescent="0.3">
      <c r="A39" s="1">
        <v>38</v>
      </c>
      <c r="B39" s="6" t="s">
        <v>77</v>
      </c>
      <c r="C39" s="7" t="s">
        <v>3</v>
      </c>
      <c r="D39" s="8" t="s">
        <v>78</v>
      </c>
      <c r="E39" s="38">
        <v>1</v>
      </c>
    </row>
    <row r="40" spans="1:5" ht="65.099999999999994" customHeight="1" thickBot="1" x14ac:dyDescent="0.3">
      <c r="A40" s="1">
        <v>39</v>
      </c>
      <c r="B40" s="6" t="s">
        <v>79</v>
      </c>
      <c r="C40" s="7" t="s">
        <v>3</v>
      </c>
      <c r="D40" s="8" t="s">
        <v>80</v>
      </c>
      <c r="E40" s="38">
        <v>1</v>
      </c>
    </row>
    <row r="41" spans="1:5" ht="65.099999999999994" customHeight="1" thickBot="1" x14ac:dyDescent="0.3">
      <c r="A41" s="1">
        <v>40</v>
      </c>
      <c r="B41" s="6" t="s">
        <v>81</v>
      </c>
      <c r="C41" s="7" t="s">
        <v>3</v>
      </c>
      <c r="D41" s="8" t="s">
        <v>82</v>
      </c>
      <c r="E41" s="38">
        <v>1</v>
      </c>
    </row>
    <row r="42" spans="1:5" ht="65.099999999999994" customHeight="1" thickBot="1" x14ac:dyDescent="0.3">
      <c r="A42" s="1">
        <v>41</v>
      </c>
      <c r="B42" s="6" t="s">
        <v>83</v>
      </c>
      <c r="C42" s="7" t="s">
        <v>3</v>
      </c>
      <c r="D42" s="8" t="s">
        <v>84</v>
      </c>
      <c r="E42" s="38">
        <v>1</v>
      </c>
    </row>
    <row r="43" spans="1:5" ht="65.099999999999994" customHeight="1" thickBot="1" x14ac:dyDescent="0.3">
      <c r="A43" s="1">
        <v>42</v>
      </c>
      <c r="B43" s="6" t="s">
        <v>85</v>
      </c>
      <c r="C43" s="7" t="s">
        <v>3</v>
      </c>
      <c r="D43" s="8" t="s">
        <v>86</v>
      </c>
      <c r="E43" s="38">
        <v>1</v>
      </c>
    </row>
    <row r="44" spans="1:5" ht="65.099999999999994" customHeight="1" thickBot="1" x14ac:dyDescent="0.3">
      <c r="A44" s="1">
        <v>43</v>
      </c>
      <c r="B44" s="6" t="s">
        <v>87</v>
      </c>
      <c r="C44" s="7" t="s">
        <v>3</v>
      </c>
      <c r="D44" s="8" t="s">
        <v>88</v>
      </c>
      <c r="E44" s="38">
        <v>1</v>
      </c>
    </row>
    <row r="45" spans="1:5" ht="65.099999999999994" customHeight="1" thickBot="1" x14ac:dyDescent="0.3">
      <c r="A45" s="1">
        <v>44</v>
      </c>
      <c r="B45" s="6" t="s">
        <v>89</v>
      </c>
      <c r="C45" s="7" t="s">
        <v>3</v>
      </c>
      <c r="D45" s="8" t="s">
        <v>90</v>
      </c>
      <c r="E45" s="38">
        <v>1</v>
      </c>
    </row>
    <row r="46" spans="1:5" ht="65.099999999999994" customHeight="1" thickBot="1" x14ac:dyDescent="0.3">
      <c r="A46" s="1">
        <v>45</v>
      </c>
      <c r="B46" s="6" t="s">
        <v>91</v>
      </c>
      <c r="C46" s="7" t="s">
        <v>3</v>
      </c>
      <c r="D46" s="8" t="s">
        <v>92</v>
      </c>
      <c r="E46" s="38">
        <v>1</v>
      </c>
    </row>
    <row r="47" spans="1:5" ht="65.099999999999994" customHeight="1" thickBot="1" x14ac:dyDescent="0.3">
      <c r="A47" s="1">
        <v>46</v>
      </c>
      <c r="B47" s="6" t="s">
        <v>93</v>
      </c>
      <c r="C47" s="7" t="s">
        <v>3</v>
      </c>
      <c r="D47" s="8" t="s">
        <v>94</v>
      </c>
      <c r="E47" s="38">
        <v>1</v>
      </c>
    </row>
    <row r="48" spans="1:5" ht="65.099999999999994" customHeight="1" thickBot="1" x14ac:dyDescent="0.3">
      <c r="A48" s="1">
        <v>47</v>
      </c>
      <c r="B48" s="6" t="s">
        <v>95</v>
      </c>
      <c r="C48" s="7" t="s">
        <v>3</v>
      </c>
      <c r="D48" s="8" t="s">
        <v>96</v>
      </c>
      <c r="E48" s="38">
        <v>1</v>
      </c>
    </row>
    <row r="49" spans="1:5" ht="65.099999999999994" customHeight="1" thickBot="1" x14ac:dyDescent="0.3">
      <c r="A49" s="1">
        <v>48</v>
      </c>
      <c r="B49" s="6" t="s">
        <v>97</v>
      </c>
      <c r="C49" s="7" t="s">
        <v>3</v>
      </c>
      <c r="D49" s="8" t="s">
        <v>98</v>
      </c>
      <c r="E49" s="38">
        <v>1</v>
      </c>
    </row>
    <row r="50" spans="1:5" ht="65.099999999999994" customHeight="1" thickBot="1" x14ac:dyDescent="0.3">
      <c r="A50" s="1">
        <v>49</v>
      </c>
      <c r="B50" s="6" t="s">
        <v>99</v>
      </c>
      <c r="C50" s="7" t="s">
        <v>3</v>
      </c>
      <c r="D50" s="8" t="s">
        <v>100</v>
      </c>
      <c r="E50" s="38">
        <v>1</v>
      </c>
    </row>
    <row r="51" spans="1:5" ht="65.099999999999994" customHeight="1" thickBot="1" x14ac:dyDescent="0.3">
      <c r="A51" s="1">
        <v>50</v>
      </c>
      <c r="B51" s="6" t="s">
        <v>101</v>
      </c>
      <c r="C51" s="7" t="s">
        <v>3</v>
      </c>
      <c r="D51" s="8" t="s">
        <v>102</v>
      </c>
      <c r="E51" s="38">
        <v>1</v>
      </c>
    </row>
    <row r="52" spans="1:5" ht="65.099999999999994" customHeight="1" thickBot="1" x14ac:dyDescent="0.3">
      <c r="A52" s="1">
        <v>51</v>
      </c>
      <c r="B52" s="6" t="s">
        <v>103</v>
      </c>
      <c r="C52" s="7" t="s">
        <v>3</v>
      </c>
      <c r="D52" s="8" t="s">
        <v>104</v>
      </c>
      <c r="E52" s="38">
        <v>1</v>
      </c>
    </row>
    <row r="53" spans="1:5" ht="65.099999999999994" customHeight="1" thickBot="1" x14ac:dyDescent="0.3">
      <c r="A53" s="1">
        <v>52</v>
      </c>
      <c r="B53" s="6" t="s">
        <v>105</v>
      </c>
      <c r="C53" s="7" t="s">
        <v>3</v>
      </c>
      <c r="D53" s="8" t="s">
        <v>106</v>
      </c>
      <c r="E53" s="38">
        <v>1</v>
      </c>
    </row>
    <row r="54" spans="1:5" ht="65.099999999999994" customHeight="1" thickBot="1" x14ac:dyDescent="0.3">
      <c r="A54" s="1">
        <v>53</v>
      </c>
      <c r="B54" s="6" t="s">
        <v>107</v>
      </c>
      <c r="C54" s="7" t="s">
        <v>3</v>
      </c>
      <c r="D54" s="8" t="s">
        <v>108</v>
      </c>
      <c r="E54" s="38">
        <v>1</v>
      </c>
    </row>
    <row r="55" spans="1:5" ht="65.099999999999994" customHeight="1" thickBot="1" x14ac:dyDescent="0.3">
      <c r="A55" s="1">
        <v>54</v>
      </c>
      <c r="B55" s="6" t="s">
        <v>109</v>
      </c>
      <c r="C55" s="7" t="s">
        <v>3</v>
      </c>
      <c r="D55" s="8" t="s">
        <v>110</v>
      </c>
      <c r="E55" s="38">
        <v>1</v>
      </c>
    </row>
    <row r="56" spans="1:5" ht="65.099999999999994" customHeight="1" thickBot="1" x14ac:dyDescent="0.3">
      <c r="A56" s="1">
        <v>55</v>
      </c>
      <c r="B56" s="6" t="s">
        <v>111</v>
      </c>
      <c r="C56" s="7" t="s">
        <v>3</v>
      </c>
      <c r="D56" s="8" t="s">
        <v>112</v>
      </c>
      <c r="E56" s="38">
        <v>1</v>
      </c>
    </row>
    <row r="57" spans="1:5" ht="65.099999999999994" customHeight="1" thickBot="1" x14ac:dyDescent="0.3">
      <c r="A57" s="1">
        <v>56</v>
      </c>
      <c r="B57" s="6" t="s">
        <v>113</v>
      </c>
      <c r="C57" s="7" t="s">
        <v>3</v>
      </c>
      <c r="D57" s="8" t="s">
        <v>114</v>
      </c>
      <c r="E57" s="38">
        <v>1</v>
      </c>
    </row>
    <row r="58" spans="1:5" ht="65.099999999999994" customHeight="1" thickBot="1" x14ac:dyDescent="0.3">
      <c r="A58" s="1">
        <v>57</v>
      </c>
      <c r="B58" s="6" t="s">
        <v>115</v>
      </c>
      <c r="C58" s="7" t="s">
        <v>3</v>
      </c>
      <c r="D58" s="8" t="s">
        <v>116</v>
      </c>
      <c r="E58" s="38">
        <v>1</v>
      </c>
    </row>
    <row r="59" spans="1:5" ht="65.099999999999994" customHeight="1" thickBot="1" x14ac:dyDescent="0.3">
      <c r="A59" s="1">
        <v>58</v>
      </c>
      <c r="B59" s="6" t="s">
        <v>117</v>
      </c>
      <c r="C59" s="7" t="s">
        <v>3</v>
      </c>
      <c r="D59" s="8" t="s">
        <v>118</v>
      </c>
      <c r="E59" s="38">
        <v>1</v>
      </c>
    </row>
    <row r="60" spans="1:5" ht="65.099999999999994" customHeight="1" thickBot="1" x14ac:dyDescent="0.3">
      <c r="A60" s="1">
        <v>59</v>
      </c>
      <c r="B60" s="6" t="s">
        <v>119</v>
      </c>
      <c r="C60" s="7" t="s">
        <v>3</v>
      </c>
      <c r="D60" s="8" t="s">
        <v>120</v>
      </c>
      <c r="E60" s="38">
        <v>1</v>
      </c>
    </row>
    <row r="61" spans="1:5" ht="65.099999999999994" customHeight="1" thickBot="1" x14ac:dyDescent="0.3">
      <c r="A61" s="1">
        <v>60</v>
      </c>
      <c r="B61" s="6" t="s">
        <v>121</v>
      </c>
      <c r="C61" s="7" t="s">
        <v>3</v>
      </c>
      <c r="D61" s="8" t="s">
        <v>122</v>
      </c>
      <c r="E61" s="38">
        <v>1</v>
      </c>
    </row>
    <row r="62" spans="1:5" x14ac:dyDescent="0.25">
      <c r="C62" s="9"/>
    </row>
  </sheetData>
  <sheetProtection algorithmName="SHA-512" hashValue="vn7cAaTKDOudu9V4imDEE2pN1kLQsNbGnv6CdLZQ1wlPG93fx8q63D0MwSw3vSQYciKrRhc4LxedW+0bHoHxsg==" saltValue="vcrMKr8F54w65J5Jz2O15Q=="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Option Button 1">
              <controlPr defaultSize="0" autoFill="0" autoLine="0" autoPict="0">
                <anchor moveWithCells="1">
                  <from>
                    <xdr:col>1</xdr:col>
                    <xdr:colOff>9525</xdr:colOff>
                    <xdr:row>1</xdr:row>
                    <xdr:rowOff>19050</xdr:rowOff>
                  </from>
                  <to>
                    <xdr:col>1</xdr:col>
                    <xdr:colOff>5667375</xdr:colOff>
                    <xdr:row>1</xdr:row>
                    <xdr:rowOff>790575</xdr:rowOff>
                  </to>
                </anchor>
              </controlPr>
            </control>
          </mc:Choice>
        </mc:AlternateContent>
        <mc:AlternateContent xmlns:mc="http://schemas.openxmlformats.org/markup-compatibility/2006">
          <mc:Choice Requires="x14">
            <control shapeId="8194" r:id="rId5" name="Option Button 2">
              <controlPr defaultSize="0" autoFill="0" autoLine="0" autoPict="0">
                <anchor moveWithCells="1">
                  <from>
                    <xdr:col>3</xdr:col>
                    <xdr:colOff>19050</xdr:colOff>
                    <xdr:row>1</xdr:row>
                    <xdr:rowOff>28575</xdr:rowOff>
                  </from>
                  <to>
                    <xdr:col>4</xdr:col>
                    <xdr:colOff>0</xdr:colOff>
                    <xdr:row>1</xdr:row>
                    <xdr:rowOff>800100</xdr:rowOff>
                  </to>
                </anchor>
              </controlPr>
            </control>
          </mc:Choice>
        </mc:AlternateContent>
        <mc:AlternateContent xmlns:mc="http://schemas.openxmlformats.org/markup-compatibility/2006">
          <mc:Choice Requires="x14">
            <control shapeId="8195" r:id="rId6" name="Group Box 3">
              <controlPr defaultSize="0" autoFill="0" autoPict="0" altText="">
                <anchor moveWithCells="1">
                  <from>
                    <xdr:col>1</xdr:col>
                    <xdr:colOff>9525</xdr:colOff>
                    <xdr:row>1</xdr:row>
                    <xdr:rowOff>0</xdr:rowOff>
                  </from>
                  <to>
                    <xdr:col>5</xdr:col>
                    <xdr:colOff>19050</xdr:colOff>
                    <xdr:row>1</xdr:row>
                    <xdr:rowOff>800100</xdr:rowOff>
                  </to>
                </anchor>
              </controlPr>
            </control>
          </mc:Choice>
        </mc:AlternateContent>
        <mc:AlternateContent xmlns:mc="http://schemas.openxmlformats.org/markup-compatibility/2006">
          <mc:Choice Requires="x14">
            <control shapeId="8196" r:id="rId7" name="Option Button 4">
              <controlPr defaultSize="0" autoFill="0" autoLine="0" autoPict="0">
                <anchor moveWithCells="1">
                  <from>
                    <xdr:col>1</xdr:col>
                    <xdr:colOff>9525</xdr:colOff>
                    <xdr:row>2</xdr:row>
                    <xdr:rowOff>28575</xdr:rowOff>
                  </from>
                  <to>
                    <xdr:col>1</xdr:col>
                    <xdr:colOff>5667375</xdr:colOff>
                    <xdr:row>2</xdr:row>
                    <xdr:rowOff>809625</xdr:rowOff>
                  </to>
                </anchor>
              </controlPr>
            </control>
          </mc:Choice>
        </mc:AlternateContent>
        <mc:AlternateContent xmlns:mc="http://schemas.openxmlformats.org/markup-compatibility/2006">
          <mc:Choice Requires="x14">
            <control shapeId="8197" r:id="rId8" name="Option Button 5">
              <controlPr defaultSize="0" autoFill="0" autoLine="0" autoPict="0">
                <anchor moveWithCells="1">
                  <from>
                    <xdr:col>3</xdr:col>
                    <xdr:colOff>19050</xdr:colOff>
                    <xdr:row>2</xdr:row>
                    <xdr:rowOff>38100</xdr:rowOff>
                  </from>
                  <to>
                    <xdr:col>4</xdr:col>
                    <xdr:colOff>0</xdr:colOff>
                    <xdr:row>3</xdr:row>
                    <xdr:rowOff>0</xdr:rowOff>
                  </to>
                </anchor>
              </controlPr>
            </control>
          </mc:Choice>
        </mc:AlternateContent>
        <mc:AlternateContent xmlns:mc="http://schemas.openxmlformats.org/markup-compatibility/2006">
          <mc:Choice Requires="x14">
            <control shapeId="8198" r:id="rId9" name="Group Box 6">
              <controlPr defaultSize="0" autoFill="0" autoPict="0" altText="">
                <anchor moveWithCells="1">
                  <from>
                    <xdr:col>1</xdr:col>
                    <xdr:colOff>9525</xdr:colOff>
                    <xdr:row>2</xdr:row>
                    <xdr:rowOff>9525</xdr:rowOff>
                  </from>
                  <to>
                    <xdr:col>5</xdr:col>
                    <xdr:colOff>19050</xdr:colOff>
                    <xdr:row>3</xdr:row>
                    <xdr:rowOff>0</xdr:rowOff>
                  </to>
                </anchor>
              </controlPr>
            </control>
          </mc:Choice>
        </mc:AlternateContent>
        <mc:AlternateContent xmlns:mc="http://schemas.openxmlformats.org/markup-compatibility/2006">
          <mc:Choice Requires="x14">
            <control shapeId="8199" r:id="rId10" name="Option Button 7">
              <controlPr defaultSize="0" autoFill="0" autoLine="0" autoPict="0">
                <anchor moveWithCells="1">
                  <from>
                    <xdr:col>1</xdr:col>
                    <xdr:colOff>9525</xdr:colOff>
                    <xdr:row>3</xdr:row>
                    <xdr:rowOff>28575</xdr:rowOff>
                  </from>
                  <to>
                    <xdr:col>1</xdr:col>
                    <xdr:colOff>5667375</xdr:colOff>
                    <xdr:row>3</xdr:row>
                    <xdr:rowOff>800100</xdr:rowOff>
                  </to>
                </anchor>
              </controlPr>
            </control>
          </mc:Choice>
        </mc:AlternateContent>
        <mc:AlternateContent xmlns:mc="http://schemas.openxmlformats.org/markup-compatibility/2006">
          <mc:Choice Requires="x14">
            <control shapeId="8200" r:id="rId11" name="Option Button 8">
              <controlPr defaultSize="0" autoFill="0" autoLine="0" autoPict="0">
                <anchor moveWithCells="1">
                  <from>
                    <xdr:col>3</xdr:col>
                    <xdr:colOff>19050</xdr:colOff>
                    <xdr:row>3</xdr:row>
                    <xdr:rowOff>38100</xdr:rowOff>
                  </from>
                  <to>
                    <xdr:col>4</xdr:col>
                    <xdr:colOff>0</xdr:colOff>
                    <xdr:row>3</xdr:row>
                    <xdr:rowOff>809625</xdr:rowOff>
                  </to>
                </anchor>
              </controlPr>
            </control>
          </mc:Choice>
        </mc:AlternateContent>
        <mc:AlternateContent xmlns:mc="http://schemas.openxmlformats.org/markup-compatibility/2006">
          <mc:Choice Requires="x14">
            <control shapeId="8201" r:id="rId12" name="Group Box 9">
              <controlPr defaultSize="0" autoFill="0" autoPict="0" altText="">
                <anchor moveWithCells="1">
                  <from>
                    <xdr:col>1</xdr:col>
                    <xdr:colOff>9525</xdr:colOff>
                    <xdr:row>3</xdr:row>
                    <xdr:rowOff>9525</xdr:rowOff>
                  </from>
                  <to>
                    <xdr:col>5</xdr:col>
                    <xdr:colOff>19050</xdr:colOff>
                    <xdr:row>3</xdr:row>
                    <xdr:rowOff>809625</xdr:rowOff>
                  </to>
                </anchor>
              </controlPr>
            </control>
          </mc:Choice>
        </mc:AlternateContent>
        <mc:AlternateContent xmlns:mc="http://schemas.openxmlformats.org/markup-compatibility/2006">
          <mc:Choice Requires="x14">
            <control shapeId="8202" r:id="rId13" name="Option Button 10">
              <controlPr defaultSize="0" autoFill="0" autoLine="0" autoPict="0">
                <anchor moveWithCells="1">
                  <from>
                    <xdr:col>1</xdr:col>
                    <xdr:colOff>9525</xdr:colOff>
                    <xdr:row>4</xdr:row>
                    <xdr:rowOff>28575</xdr:rowOff>
                  </from>
                  <to>
                    <xdr:col>1</xdr:col>
                    <xdr:colOff>5667375</xdr:colOff>
                    <xdr:row>4</xdr:row>
                    <xdr:rowOff>809625</xdr:rowOff>
                  </to>
                </anchor>
              </controlPr>
            </control>
          </mc:Choice>
        </mc:AlternateContent>
        <mc:AlternateContent xmlns:mc="http://schemas.openxmlformats.org/markup-compatibility/2006">
          <mc:Choice Requires="x14">
            <control shapeId="8203" r:id="rId14" name="Option Button 11">
              <controlPr defaultSize="0" autoFill="0" autoLine="0" autoPict="0">
                <anchor moveWithCells="1">
                  <from>
                    <xdr:col>3</xdr:col>
                    <xdr:colOff>19050</xdr:colOff>
                    <xdr:row>4</xdr:row>
                    <xdr:rowOff>38100</xdr:rowOff>
                  </from>
                  <to>
                    <xdr:col>4</xdr:col>
                    <xdr:colOff>0</xdr:colOff>
                    <xdr:row>5</xdr:row>
                    <xdr:rowOff>0</xdr:rowOff>
                  </to>
                </anchor>
              </controlPr>
            </control>
          </mc:Choice>
        </mc:AlternateContent>
        <mc:AlternateContent xmlns:mc="http://schemas.openxmlformats.org/markup-compatibility/2006">
          <mc:Choice Requires="x14">
            <control shapeId="8204" r:id="rId15" name="Group Box 12">
              <controlPr defaultSize="0" autoFill="0" autoPict="0" altText="">
                <anchor moveWithCells="1">
                  <from>
                    <xdr:col>1</xdr:col>
                    <xdr:colOff>9525</xdr:colOff>
                    <xdr:row>4</xdr:row>
                    <xdr:rowOff>9525</xdr:rowOff>
                  </from>
                  <to>
                    <xdr:col>5</xdr:col>
                    <xdr:colOff>19050</xdr:colOff>
                    <xdr:row>5</xdr:row>
                    <xdr:rowOff>0</xdr:rowOff>
                  </to>
                </anchor>
              </controlPr>
            </control>
          </mc:Choice>
        </mc:AlternateContent>
        <mc:AlternateContent xmlns:mc="http://schemas.openxmlformats.org/markup-compatibility/2006">
          <mc:Choice Requires="x14">
            <control shapeId="8205" r:id="rId16" name="Option Button 13">
              <controlPr defaultSize="0" autoFill="0" autoLine="0" autoPict="0">
                <anchor moveWithCells="1">
                  <from>
                    <xdr:col>1</xdr:col>
                    <xdr:colOff>19050</xdr:colOff>
                    <xdr:row>5</xdr:row>
                    <xdr:rowOff>28575</xdr:rowOff>
                  </from>
                  <to>
                    <xdr:col>1</xdr:col>
                    <xdr:colOff>5676900</xdr:colOff>
                    <xdr:row>5</xdr:row>
                    <xdr:rowOff>800100</xdr:rowOff>
                  </to>
                </anchor>
              </controlPr>
            </control>
          </mc:Choice>
        </mc:AlternateContent>
        <mc:AlternateContent xmlns:mc="http://schemas.openxmlformats.org/markup-compatibility/2006">
          <mc:Choice Requires="x14">
            <control shapeId="8206" r:id="rId17" name="Option Button 14">
              <controlPr defaultSize="0" autoFill="0" autoLine="0" autoPict="0">
                <anchor moveWithCells="1">
                  <from>
                    <xdr:col>3</xdr:col>
                    <xdr:colOff>28575</xdr:colOff>
                    <xdr:row>5</xdr:row>
                    <xdr:rowOff>38100</xdr:rowOff>
                  </from>
                  <to>
                    <xdr:col>5</xdr:col>
                    <xdr:colOff>9525</xdr:colOff>
                    <xdr:row>5</xdr:row>
                    <xdr:rowOff>809625</xdr:rowOff>
                  </to>
                </anchor>
              </controlPr>
            </control>
          </mc:Choice>
        </mc:AlternateContent>
        <mc:AlternateContent xmlns:mc="http://schemas.openxmlformats.org/markup-compatibility/2006">
          <mc:Choice Requires="x14">
            <control shapeId="8207" r:id="rId18" name="Group Box 15">
              <controlPr defaultSize="0" autoFill="0" autoPict="0" altText="">
                <anchor moveWithCells="1">
                  <from>
                    <xdr:col>1</xdr:col>
                    <xdr:colOff>19050</xdr:colOff>
                    <xdr:row>5</xdr:row>
                    <xdr:rowOff>9525</xdr:rowOff>
                  </from>
                  <to>
                    <xdr:col>5</xdr:col>
                    <xdr:colOff>28575</xdr:colOff>
                    <xdr:row>5</xdr:row>
                    <xdr:rowOff>809625</xdr:rowOff>
                  </to>
                </anchor>
              </controlPr>
            </control>
          </mc:Choice>
        </mc:AlternateContent>
        <mc:AlternateContent xmlns:mc="http://schemas.openxmlformats.org/markup-compatibility/2006">
          <mc:Choice Requires="x14">
            <control shapeId="8208" r:id="rId19" name="Option Button 16">
              <controlPr defaultSize="0" autoFill="0" autoLine="0" autoPict="0">
                <anchor moveWithCells="1">
                  <from>
                    <xdr:col>1</xdr:col>
                    <xdr:colOff>9525</xdr:colOff>
                    <xdr:row>6</xdr:row>
                    <xdr:rowOff>28575</xdr:rowOff>
                  </from>
                  <to>
                    <xdr:col>1</xdr:col>
                    <xdr:colOff>5667375</xdr:colOff>
                    <xdr:row>6</xdr:row>
                    <xdr:rowOff>800100</xdr:rowOff>
                  </to>
                </anchor>
              </controlPr>
            </control>
          </mc:Choice>
        </mc:AlternateContent>
        <mc:AlternateContent xmlns:mc="http://schemas.openxmlformats.org/markup-compatibility/2006">
          <mc:Choice Requires="x14">
            <control shapeId="8209" r:id="rId20" name="Option Button 17">
              <controlPr defaultSize="0" autoFill="0" autoLine="0" autoPict="0">
                <anchor moveWithCells="1">
                  <from>
                    <xdr:col>3</xdr:col>
                    <xdr:colOff>19050</xdr:colOff>
                    <xdr:row>6</xdr:row>
                    <xdr:rowOff>38100</xdr:rowOff>
                  </from>
                  <to>
                    <xdr:col>4</xdr:col>
                    <xdr:colOff>0</xdr:colOff>
                    <xdr:row>6</xdr:row>
                    <xdr:rowOff>809625</xdr:rowOff>
                  </to>
                </anchor>
              </controlPr>
            </control>
          </mc:Choice>
        </mc:AlternateContent>
        <mc:AlternateContent xmlns:mc="http://schemas.openxmlformats.org/markup-compatibility/2006">
          <mc:Choice Requires="x14">
            <control shapeId="8210" r:id="rId21" name="Group Box 18">
              <controlPr defaultSize="0" autoFill="0" autoPict="0" altText="">
                <anchor moveWithCells="1">
                  <from>
                    <xdr:col>1</xdr:col>
                    <xdr:colOff>9525</xdr:colOff>
                    <xdr:row>6</xdr:row>
                    <xdr:rowOff>9525</xdr:rowOff>
                  </from>
                  <to>
                    <xdr:col>5</xdr:col>
                    <xdr:colOff>19050</xdr:colOff>
                    <xdr:row>6</xdr:row>
                    <xdr:rowOff>809625</xdr:rowOff>
                  </to>
                </anchor>
              </controlPr>
            </control>
          </mc:Choice>
        </mc:AlternateContent>
        <mc:AlternateContent xmlns:mc="http://schemas.openxmlformats.org/markup-compatibility/2006">
          <mc:Choice Requires="x14">
            <control shapeId="8211" r:id="rId22" name="Option Button 19">
              <controlPr defaultSize="0" autoFill="0" autoLine="0" autoPict="0">
                <anchor moveWithCells="1">
                  <from>
                    <xdr:col>1</xdr:col>
                    <xdr:colOff>9525</xdr:colOff>
                    <xdr:row>7</xdr:row>
                    <xdr:rowOff>38100</xdr:rowOff>
                  </from>
                  <to>
                    <xdr:col>1</xdr:col>
                    <xdr:colOff>5667375</xdr:colOff>
                    <xdr:row>7</xdr:row>
                    <xdr:rowOff>809625</xdr:rowOff>
                  </to>
                </anchor>
              </controlPr>
            </control>
          </mc:Choice>
        </mc:AlternateContent>
        <mc:AlternateContent xmlns:mc="http://schemas.openxmlformats.org/markup-compatibility/2006">
          <mc:Choice Requires="x14">
            <control shapeId="8212" r:id="rId23" name="Option Button 20">
              <controlPr defaultSize="0" autoFill="0" autoLine="0" autoPict="0">
                <anchor moveWithCells="1">
                  <from>
                    <xdr:col>3</xdr:col>
                    <xdr:colOff>19050</xdr:colOff>
                    <xdr:row>7</xdr:row>
                    <xdr:rowOff>47625</xdr:rowOff>
                  </from>
                  <to>
                    <xdr:col>4</xdr:col>
                    <xdr:colOff>0</xdr:colOff>
                    <xdr:row>8</xdr:row>
                    <xdr:rowOff>0</xdr:rowOff>
                  </to>
                </anchor>
              </controlPr>
            </control>
          </mc:Choice>
        </mc:AlternateContent>
        <mc:AlternateContent xmlns:mc="http://schemas.openxmlformats.org/markup-compatibility/2006">
          <mc:Choice Requires="x14">
            <control shapeId="8213" r:id="rId24" name="Group Box 21">
              <controlPr defaultSize="0" autoFill="0" autoPict="0" altText="">
                <anchor moveWithCells="1">
                  <from>
                    <xdr:col>1</xdr:col>
                    <xdr:colOff>9525</xdr:colOff>
                    <xdr:row>7</xdr:row>
                    <xdr:rowOff>19050</xdr:rowOff>
                  </from>
                  <to>
                    <xdr:col>5</xdr:col>
                    <xdr:colOff>19050</xdr:colOff>
                    <xdr:row>8</xdr:row>
                    <xdr:rowOff>0</xdr:rowOff>
                  </to>
                </anchor>
              </controlPr>
            </control>
          </mc:Choice>
        </mc:AlternateContent>
        <mc:AlternateContent xmlns:mc="http://schemas.openxmlformats.org/markup-compatibility/2006">
          <mc:Choice Requires="x14">
            <control shapeId="8214" r:id="rId25" name="Option Button 22">
              <controlPr defaultSize="0" autoFill="0" autoLine="0" autoPict="0">
                <anchor moveWithCells="1">
                  <from>
                    <xdr:col>1</xdr:col>
                    <xdr:colOff>9525</xdr:colOff>
                    <xdr:row>8</xdr:row>
                    <xdr:rowOff>28575</xdr:rowOff>
                  </from>
                  <to>
                    <xdr:col>1</xdr:col>
                    <xdr:colOff>5667375</xdr:colOff>
                    <xdr:row>8</xdr:row>
                    <xdr:rowOff>800100</xdr:rowOff>
                  </to>
                </anchor>
              </controlPr>
            </control>
          </mc:Choice>
        </mc:AlternateContent>
        <mc:AlternateContent xmlns:mc="http://schemas.openxmlformats.org/markup-compatibility/2006">
          <mc:Choice Requires="x14">
            <control shapeId="8215" r:id="rId26" name="Option Button 23">
              <controlPr defaultSize="0" autoFill="0" autoLine="0" autoPict="0">
                <anchor moveWithCells="1">
                  <from>
                    <xdr:col>3</xdr:col>
                    <xdr:colOff>19050</xdr:colOff>
                    <xdr:row>8</xdr:row>
                    <xdr:rowOff>38100</xdr:rowOff>
                  </from>
                  <to>
                    <xdr:col>4</xdr:col>
                    <xdr:colOff>0</xdr:colOff>
                    <xdr:row>8</xdr:row>
                    <xdr:rowOff>809625</xdr:rowOff>
                  </to>
                </anchor>
              </controlPr>
            </control>
          </mc:Choice>
        </mc:AlternateContent>
        <mc:AlternateContent xmlns:mc="http://schemas.openxmlformats.org/markup-compatibility/2006">
          <mc:Choice Requires="x14">
            <control shapeId="8216" r:id="rId27" name="Group Box 24">
              <controlPr defaultSize="0" autoFill="0" autoPict="0" altText="">
                <anchor moveWithCells="1">
                  <from>
                    <xdr:col>1</xdr:col>
                    <xdr:colOff>9525</xdr:colOff>
                    <xdr:row>8</xdr:row>
                    <xdr:rowOff>9525</xdr:rowOff>
                  </from>
                  <to>
                    <xdr:col>5</xdr:col>
                    <xdr:colOff>19050</xdr:colOff>
                    <xdr:row>8</xdr:row>
                    <xdr:rowOff>809625</xdr:rowOff>
                  </to>
                </anchor>
              </controlPr>
            </control>
          </mc:Choice>
        </mc:AlternateContent>
        <mc:AlternateContent xmlns:mc="http://schemas.openxmlformats.org/markup-compatibility/2006">
          <mc:Choice Requires="x14">
            <control shapeId="8217" r:id="rId28" name="Option Button 25">
              <controlPr defaultSize="0" autoFill="0" autoLine="0" autoPict="0">
                <anchor moveWithCells="1">
                  <from>
                    <xdr:col>1</xdr:col>
                    <xdr:colOff>9525</xdr:colOff>
                    <xdr:row>9</xdr:row>
                    <xdr:rowOff>28575</xdr:rowOff>
                  </from>
                  <to>
                    <xdr:col>1</xdr:col>
                    <xdr:colOff>5667375</xdr:colOff>
                    <xdr:row>9</xdr:row>
                    <xdr:rowOff>800100</xdr:rowOff>
                  </to>
                </anchor>
              </controlPr>
            </control>
          </mc:Choice>
        </mc:AlternateContent>
        <mc:AlternateContent xmlns:mc="http://schemas.openxmlformats.org/markup-compatibility/2006">
          <mc:Choice Requires="x14">
            <control shapeId="8218" r:id="rId29" name="Option Button 26">
              <controlPr defaultSize="0" autoFill="0" autoLine="0" autoPict="0">
                <anchor moveWithCells="1">
                  <from>
                    <xdr:col>3</xdr:col>
                    <xdr:colOff>19050</xdr:colOff>
                    <xdr:row>9</xdr:row>
                    <xdr:rowOff>38100</xdr:rowOff>
                  </from>
                  <to>
                    <xdr:col>4</xdr:col>
                    <xdr:colOff>0</xdr:colOff>
                    <xdr:row>9</xdr:row>
                    <xdr:rowOff>809625</xdr:rowOff>
                  </to>
                </anchor>
              </controlPr>
            </control>
          </mc:Choice>
        </mc:AlternateContent>
        <mc:AlternateContent xmlns:mc="http://schemas.openxmlformats.org/markup-compatibility/2006">
          <mc:Choice Requires="x14">
            <control shapeId="8219" r:id="rId30" name="Group Box 27">
              <controlPr defaultSize="0" autoFill="0" autoPict="0" altText="">
                <anchor moveWithCells="1">
                  <from>
                    <xdr:col>1</xdr:col>
                    <xdr:colOff>9525</xdr:colOff>
                    <xdr:row>9</xdr:row>
                    <xdr:rowOff>9525</xdr:rowOff>
                  </from>
                  <to>
                    <xdr:col>5</xdr:col>
                    <xdr:colOff>19050</xdr:colOff>
                    <xdr:row>9</xdr:row>
                    <xdr:rowOff>809625</xdr:rowOff>
                  </to>
                </anchor>
              </controlPr>
            </control>
          </mc:Choice>
        </mc:AlternateContent>
        <mc:AlternateContent xmlns:mc="http://schemas.openxmlformats.org/markup-compatibility/2006">
          <mc:Choice Requires="x14">
            <control shapeId="8220" r:id="rId31" name="Option Button 28">
              <controlPr defaultSize="0" autoFill="0" autoLine="0" autoPict="0">
                <anchor moveWithCells="1">
                  <from>
                    <xdr:col>1</xdr:col>
                    <xdr:colOff>9525</xdr:colOff>
                    <xdr:row>10</xdr:row>
                    <xdr:rowOff>19050</xdr:rowOff>
                  </from>
                  <to>
                    <xdr:col>1</xdr:col>
                    <xdr:colOff>5667375</xdr:colOff>
                    <xdr:row>10</xdr:row>
                    <xdr:rowOff>790575</xdr:rowOff>
                  </to>
                </anchor>
              </controlPr>
            </control>
          </mc:Choice>
        </mc:AlternateContent>
        <mc:AlternateContent xmlns:mc="http://schemas.openxmlformats.org/markup-compatibility/2006">
          <mc:Choice Requires="x14">
            <control shapeId="8221" r:id="rId32" name="Option Button 29">
              <controlPr defaultSize="0" autoFill="0" autoLine="0" autoPict="0">
                <anchor moveWithCells="1">
                  <from>
                    <xdr:col>3</xdr:col>
                    <xdr:colOff>19050</xdr:colOff>
                    <xdr:row>10</xdr:row>
                    <xdr:rowOff>28575</xdr:rowOff>
                  </from>
                  <to>
                    <xdr:col>4</xdr:col>
                    <xdr:colOff>0</xdr:colOff>
                    <xdr:row>10</xdr:row>
                    <xdr:rowOff>800100</xdr:rowOff>
                  </to>
                </anchor>
              </controlPr>
            </control>
          </mc:Choice>
        </mc:AlternateContent>
        <mc:AlternateContent xmlns:mc="http://schemas.openxmlformats.org/markup-compatibility/2006">
          <mc:Choice Requires="x14">
            <control shapeId="8222" r:id="rId33" name="Group Box 30">
              <controlPr defaultSize="0" autoFill="0" autoPict="0" altText="">
                <anchor moveWithCells="1">
                  <from>
                    <xdr:col>1</xdr:col>
                    <xdr:colOff>9525</xdr:colOff>
                    <xdr:row>10</xdr:row>
                    <xdr:rowOff>0</xdr:rowOff>
                  </from>
                  <to>
                    <xdr:col>5</xdr:col>
                    <xdr:colOff>19050</xdr:colOff>
                    <xdr:row>10</xdr:row>
                    <xdr:rowOff>800100</xdr:rowOff>
                  </to>
                </anchor>
              </controlPr>
            </control>
          </mc:Choice>
        </mc:AlternateContent>
        <mc:AlternateContent xmlns:mc="http://schemas.openxmlformats.org/markup-compatibility/2006">
          <mc:Choice Requires="x14">
            <control shapeId="8223" r:id="rId34" name="Option Button 31">
              <controlPr defaultSize="0" autoFill="0" autoLine="0" autoPict="0">
                <anchor moveWithCells="1">
                  <from>
                    <xdr:col>1</xdr:col>
                    <xdr:colOff>9525</xdr:colOff>
                    <xdr:row>11</xdr:row>
                    <xdr:rowOff>38100</xdr:rowOff>
                  </from>
                  <to>
                    <xdr:col>1</xdr:col>
                    <xdr:colOff>5667375</xdr:colOff>
                    <xdr:row>11</xdr:row>
                    <xdr:rowOff>809625</xdr:rowOff>
                  </to>
                </anchor>
              </controlPr>
            </control>
          </mc:Choice>
        </mc:AlternateContent>
        <mc:AlternateContent xmlns:mc="http://schemas.openxmlformats.org/markup-compatibility/2006">
          <mc:Choice Requires="x14">
            <control shapeId="8224" r:id="rId35" name="Option Button 32">
              <controlPr defaultSize="0" autoFill="0" autoLine="0" autoPict="0">
                <anchor moveWithCells="1">
                  <from>
                    <xdr:col>3</xdr:col>
                    <xdr:colOff>19050</xdr:colOff>
                    <xdr:row>11</xdr:row>
                    <xdr:rowOff>47625</xdr:rowOff>
                  </from>
                  <to>
                    <xdr:col>4</xdr:col>
                    <xdr:colOff>0</xdr:colOff>
                    <xdr:row>12</xdr:row>
                    <xdr:rowOff>0</xdr:rowOff>
                  </to>
                </anchor>
              </controlPr>
            </control>
          </mc:Choice>
        </mc:AlternateContent>
        <mc:AlternateContent xmlns:mc="http://schemas.openxmlformats.org/markup-compatibility/2006">
          <mc:Choice Requires="x14">
            <control shapeId="8225" r:id="rId36" name="Group Box 33">
              <controlPr defaultSize="0" autoFill="0" autoPict="0" altText="">
                <anchor moveWithCells="1">
                  <from>
                    <xdr:col>1</xdr:col>
                    <xdr:colOff>9525</xdr:colOff>
                    <xdr:row>11</xdr:row>
                    <xdr:rowOff>19050</xdr:rowOff>
                  </from>
                  <to>
                    <xdr:col>5</xdr:col>
                    <xdr:colOff>19050</xdr:colOff>
                    <xdr:row>12</xdr:row>
                    <xdr:rowOff>0</xdr:rowOff>
                  </to>
                </anchor>
              </controlPr>
            </control>
          </mc:Choice>
        </mc:AlternateContent>
        <mc:AlternateContent xmlns:mc="http://schemas.openxmlformats.org/markup-compatibility/2006">
          <mc:Choice Requires="x14">
            <control shapeId="8226" r:id="rId37" name="Option Button 34">
              <controlPr defaultSize="0" autoFill="0" autoLine="0" autoPict="0">
                <anchor moveWithCells="1">
                  <from>
                    <xdr:col>1</xdr:col>
                    <xdr:colOff>9525</xdr:colOff>
                    <xdr:row>12</xdr:row>
                    <xdr:rowOff>47625</xdr:rowOff>
                  </from>
                  <to>
                    <xdr:col>1</xdr:col>
                    <xdr:colOff>5667375</xdr:colOff>
                    <xdr:row>13</xdr:row>
                    <xdr:rowOff>9525</xdr:rowOff>
                  </to>
                </anchor>
              </controlPr>
            </control>
          </mc:Choice>
        </mc:AlternateContent>
        <mc:AlternateContent xmlns:mc="http://schemas.openxmlformats.org/markup-compatibility/2006">
          <mc:Choice Requires="x14">
            <control shapeId="8227" r:id="rId38" name="Option Button 35">
              <controlPr defaultSize="0" autoFill="0" autoLine="0" autoPict="0">
                <anchor moveWithCells="1">
                  <from>
                    <xdr:col>3</xdr:col>
                    <xdr:colOff>19050</xdr:colOff>
                    <xdr:row>12</xdr:row>
                    <xdr:rowOff>57150</xdr:rowOff>
                  </from>
                  <to>
                    <xdr:col>4</xdr:col>
                    <xdr:colOff>0</xdr:colOff>
                    <xdr:row>13</xdr:row>
                    <xdr:rowOff>19050</xdr:rowOff>
                  </to>
                </anchor>
              </controlPr>
            </control>
          </mc:Choice>
        </mc:AlternateContent>
        <mc:AlternateContent xmlns:mc="http://schemas.openxmlformats.org/markup-compatibility/2006">
          <mc:Choice Requires="x14">
            <control shapeId="8228" r:id="rId39" name="Group Box 36">
              <controlPr defaultSize="0" autoFill="0" autoPict="0" altText="">
                <anchor moveWithCells="1">
                  <from>
                    <xdr:col>1</xdr:col>
                    <xdr:colOff>9525</xdr:colOff>
                    <xdr:row>12</xdr:row>
                    <xdr:rowOff>28575</xdr:rowOff>
                  </from>
                  <to>
                    <xdr:col>5</xdr:col>
                    <xdr:colOff>19050</xdr:colOff>
                    <xdr:row>13</xdr:row>
                    <xdr:rowOff>19050</xdr:rowOff>
                  </to>
                </anchor>
              </controlPr>
            </control>
          </mc:Choice>
        </mc:AlternateContent>
        <mc:AlternateContent xmlns:mc="http://schemas.openxmlformats.org/markup-compatibility/2006">
          <mc:Choice Requires="x14">
            <control shapeId="8229" r:id="rId40" name="Option Button 37">
              <controlPr defaultSize="0" autoFill="0" autoLine="0" autoPict="0">
                <anchor moveWithCells="1">
                  <from>
                    <xdr:col>1</xdr:col>
                    <xdr:colOff>9525</xdr:colOff>
                    <xdr:row>13</xdr:row>
                    <xdr:rowOff>47625</xdr:rowOff>
                  </from>
                  <to>
                    <xdr:col>1</xdr:col>
                    <xdr:colOff>5667375</xdr:colOff>
                    <xdr:row>14</xdr:row>
                    <xdr:rowOff>0</xdr:rowOff>
                  </to>
                </anchor>
              </controlPr>
            </control>
          </mc:Choice>
        </mc:AlternateContent>
        <mc:AlternateContent xmlns:mc="http://schemas.openxmlformats.org/markup-compatibility/2006">
          <mc:Choice Requires="x14">
            <control shapeId="8230" r:id="rId41" name="Option Button 38">
              <controlPr defaultSize="0" autoFill="0" autoLine="0" autoPict="0">
                <anchor moveWithCells="1">
                  <from>
                    <xdr:col>3</xdr:col>
                    <xdr:colOff>19050</xdr:colOff>
                    <xdr:row>13</xdr:row>
                    <xdr:rowOff>57150</xdr:rowOff>
                  </from>
                  <to>
                    <xdr:col>4</xdr:col>
                    <xdr:colOff>0</xdr:colOff>
                    <xdr:row>14</xdr:row>
                    <xdr:rowOff>9525</xdr:rowOff>
                  </to>
                </anchor>
              </controlPr>
            </control>
          </mc:Choice>
        </mc:AlternateContent>
        <mc:AlternateContent xmlns:mc="http://schemas.openxmlformats.org/markup-compatibility/2006">
          <mc:Choice Requires="x14">
            <control shapeId="8231" r:id="rId42" name="Group Box 39">
              <controlPr defaultSize="0" autoFill="0" autoPict="0" altText="">
                <anchor moveWithCells="1">
                  <from>
                    <xdr:col>1</xdr:col>
                    <xdr:colOff>9525</xdr:colOff>
                    <xdr:row>13</xdr:row>
                    <xdr:rowOff>28575</xdr:rowOff>
                  </from>
                  <to>
                    <xdr:col>5</xdr:col>
                    <xdr:colOff>19050</xdr:colOff>
                    <xdr:row>14</xdr:row>
                    <xdr:rowOff>9525</xdr:rowOff>
                  </to>
                </anchor>
              </controlPr>
            </control>
          </mc:Choice>
        </mc:AlternateContent>
        <mc:AlternateContent xmlns:mc="http://schemas.openxmlformats.org/markup-compatibility/2006">
          <mc:Choice Requires="x14">
            <control shapeId="8232" r:id="rId43" name="Option Button 40">
              <controlPr defaultSize="0" autoFill="0" autoLine="0" autoPict="0">
                <anchor moveWithCells="1">
                  <from>
                    <xdr:col>1</xdr:col>
                    <xdr:colOff>9525</xdr:colOff>
                    <xdr:row>14</xdr:row>
                    <xdr:rowOff>47625</xdr:rowOff>
                  </from>
                  <to>
                    <xdr:col>1</xdr:col>
                    <xdr:colOff>5667375</xdr:colOff>
                    <xdr:row>15</xdr:row>
                    <xdr:rowOff>9525</xdr:rowOff>
                  </to>
                </anchor>
              </controlPr>
            </control>
          </mc:Choice>
        </mc:AlternateContent>
        <mc:AlternateContent xmlns:mc="http://schemas.openxmlformats.org/markup-compatibility/2006">
          <mc:Choice Requires="x14">
            <control shapeId="8233" r:id="rId44" name="Option Button 41">
              <controlPr defaultSize="0" autoFill="0" autoLine="0" autoPict="0">
                <anchor moveWithCells="1">
                  <from>
                    <xdr:col>3</xdr:col>
                    <xdr:colOff>19050</xdr:colOff>
                    <xdr:row>14</xdr:row>
                    <xdr:rowOff>57150</xdr:rowOff>
                  </from>
                  <to>
                    <xdr:col>4</xdr:col>
                    <xdr:colOff>0</xdr:colOff>
                    <xdr:row>15</xdr:row>
                    <xdr:rowOff>19050</xdr:rowOff>
                  </to>
                </anchor>
              </controlPr>
            </control>
          </mc:Choice>
        </mc:AlternateContent>
        <mc:AlternateContent xmlns:mc="http://schemas.openxmlformats.org/markup-compatibility/2006">
          <mc:Choice Requires="x14">
            <control shapeId="8234" r:id="rId45" name="Group Box 42">
              <controlPr defaultSize="0" autoFill="0" autoPict="0" altText="">
                <anchor moveWithCells="1">
                  <from>
                    <xdr:col>1</xdr:col>
                    <xdr:colOff>9525</xdr:colOff>
                    <xdr:row>14</xdr:row>
                    <xdr:rowOff>28575</xdr:rowOff>
                  </from>
                  <to>
                    <xdr:col>5</xdr:col>
                    <xdr:colOff>19050</xdr:colOff>
                    <xdr:row>15</xdr:row>
                    <xdr:rowOff>19050</xdr:rowOff>
                  </to>
                </anchor>
              </controlPr>
            </control>
          </mc:Choice>
        </mc:AlternateContent>
        <mc:AlternateContent xmlns:mc="http://schemas.openxmlformats.org/markup-compatibility/2006">
          <mc:Choice Requires="x14">
            <control shapeId="8235" r:id="rId46" name="Option Button 43">
              <controlPr defaultSize="0" autoFill="0" autoLine="0" autoPict="0">
                <anchor moveWithCells="1">
                  <from>
                    <xdr:col>1</xdr:col>
                    <xdr:colOff>19050</xdr:colOff>
                    <xdr:row>15</xdr:row>
                    <xdr:rowOff>47625</xdr:rowOff>
                  </from>
                  <to>
                    <xdr:col>1</xdr:col>
                    <xdr:colOff>5676900</xdr:colOff>
                    <xdr:row>16</xdr:row>
                    <xdr:rowOff>0</xdr:rowOff>
                  </to>
                </anchor>
              </controlPr>
            </control>
          </mc:Choice>
        </mc:AlternateContent>
        <mc:AlternateContent xmlns:mc="http://schemas.openxmlformats.org/markup-compatibility/2006">
          <mc:Choice Requires="x14">
            <control shapeId="8236" r:id="rId47" name="Option Button 44">
              <controlPr defaultSize="0" autoFill="0" autoLine="0" autoPict="0">
                <anchor moveWithCells="1">
                  <from>
                    <xdr:col>3</xdr:col>
                    <xdr:colOff>28575</xdr:colOff>
                    <xdr:row>15</xdr:row>
                    <xdr:rowOff>57150</xdr:rowOff>
                  </from>
                  <to>
                    <xdr:col>5</xdr:col>
                    <xdr:colOff>9525</xdr:colOff>
                    <xdr:row>16</xdr:row>
                    <xdr:rowOff>9525</xdr:rowOff>
                  </to>
                </anchor>
              </controlPr>
            </control>
          </mc:Choice>
        </mc:AlternateContent>
        <mc:AlternateContent xmlns:mc="http://schemas.openxmlformats.org/markup-compatibility/2006">
          <mc:Choice Requires="x14">
            <control shapeId="8237" r:id="rId48" name="Group Box 45">
              <controlPr defaultSize="0" autoFill="0" autoPict="0" altText="">
                <anchor moveWithCells="1">
                  <from>
                    <xdr:col>1</xdr:col>
                    <xdr:colOff>19050</xdr:colOff>
                    <xdr:row>15</xdr:row>
                    <xdr:rowOff>28575</xdr:rowOff>
                  </from>
                  <to>
                    <xdr:col>5</xdr:col>
                    <xdr:colOff>28575</xdr:colOff>
                    <xdr:row>16</xdr:row>
                    <xdr:rowOff>9525</xdr:rowOff>
                  </to>
                </anchor>
              </controlPr>
            </control>
          </mc:Choice>
        </mc:AlternateContent>
        <mc:AlternateContent xmlns:mc="http://schemas.openxmlformats.org/markup-compatibility/2006">
          <mc:Choice Requires="x14">
            <control shapeId="8238" r:id="rId49" name="Option Button 46">
              <controlPr defaultSize="0" autoFill="0" autoLine="0" autoPict="0">
                <anchor moveWithCells="1">
                  <from>
                    <xdr:col>1</xdr:col>
                    <xdr:colOff>9525</xdr:colOff>
                    <xdr:row>16</xdr:row>
                    <xdr:rowOff>47625</xdr:rowOff>
                  </from>
                  <to>
                    <xdr:col>1</xdr:col>
                    <xdr:colOff>5667375</xdr:colOff>
                    <xdr:row>17</xdr:row>
                    <xdr:rowOff>0</xdr:rowOff>
                  </to>
                </anchor>
              </controlPr>
            </control>
          </mc:Choice>
        </mc:AlternateContent>
        <mc:AlternateContent xmlns:mc="http://schemas.openxmlformats.org/markup-compatibility/2006">
          <mc:Choice Requires="x14">
            <control shapeId="8239" r:id="rId50" name="Option Button 47">
              <controlPr defaultSize="0" autoFill="0" autoLine="0" autoPict="0">
                <anchor moveWithCells="1">
                  <from>
                    <xdr:col>3</xdr:col>
                    <xdr:colOff>19050</xdr:colOff>
                    <xdr:row>16</xdr:row>
                    <xdr:rowOff>57150</xdr:rowOff>
                  </from>
                  <to>
                    <xdr:col>4</xdr:col>
                    <xdr:colOff>0</xdr:colOff>
                    <xdr:row>17</xdr:row>
                    <xdr:rowOff>9525</xdr:rowOff>
                  </to>
                </anchor>
              </controlPr>
            </control>
          </mc:Choice>
        </mc:AlternateContent>
        <mc:AlternateContent xmlns:mc="http://schemas.openxmlformats.org/markup-compatibility/2006">
          <mc:Choice Requires="x14">
            <control shapeId="8240" r:id="rId51" name="Group Box 48">
              <controlPr defaultSize="0" autoFill="0" autoPict="0" altText="">
                <anchor moveWithCells="1">
                  <from>
                    <xdr:col>1</xdr:col>
                    <xdr:colOff>9525</xdr:colOff>
                    <xdr:row>16</xdr:row>
                    <xdr:rowOff>28575</xdr:rowOff>
                  </from>
                  <to>
                    <xdr:col>5</xdr:col>
                    <xdr:colOff>19050</xdr:colOff>
                    <xdr:row>17</xdr:row>
                    <xdr:rowOff>9525</xdr:rowOff>
                  </to>
                </anchor>
              </controlPr>
            </control>
          </mc:Choice>
        </mc:AlternateContent>
        <mc:AlternateContent xmlns:mc="http://schemas.openxmlformats.org/markup-compatibility/2006">
          <mc:Choice Requires="x14">
            <control shapeId="8241" r:id="rId52" name="Option Button 49">
              <controlPr defaultSize="0" autoFill="0" autoLine="0" autoPict="0">
                <anchor moveWithCells="1">
                  <from>
                    <xdr:col>1</xdr:col>
                    <xdr:colOff>9525</xdr:colOff>
                    <xdr:row>17</xdr:row>
                    <xdr:rowOff>57150</xdr:rowOff>
                  </from>
                  <to>
                    <xdr:col>1</xdr:col>
                    <xdr:colOff>5667375</xdr:colOff>
                    <xdr:row>18</xdr:row>
                    <xdr:rowOff>9525</xdr:rowOff>
                  </to>
                </anchor>
              </controlPr>
            </control>
          </mc:Choice>
        </mc:AlternateContent>
        <mc:AlternateContent xmlns:mc="http://schemas.openxmlformats.org/markup-compatibility/2006">
          <mc:Choice Requires="x14">
            <control shapeId="8242" r:id="rId53" name="Option Button 50">
              <controlPr defaultSize="0" autoFill="0" autoLine="0" autoPict="0">
                <anchor moveWithCells="1">
                  <from>
                    <xdr:col>3</xdr:col>
                    <xdr:colOff>19050</xdr:colOff>
                    <xdr:row>17</xdr:row>
                    <xdr:rowOff>66675</xdr:rowOff>
                  </from>
                  <to>
                    <xdr:col>4</xdr:col>
                    <xdr:colOff>0</xdr:colOff>
                    <xdr:row>18</xdr:row>
                    <xdr:rowOff>19050</xdr:rowOff>
                  </to>
                </anchor>
              </controlPr>
            </control>
          </mc:Choice>
        </mc:AlternateContent>
        <mc:AlternateContent xmlns:mc="http://schemas.openxmlformats.org/markup-compatibility/2006">
          <mc:Choice Requires="x14">
            <control shapeId="8243" r:id="rId54" name="Group Box 51">
              <controlPr defaultSize="0" autoFill="0" autoPict="0" altText="">
                <anchor moveWithCells="1">
                  <from>
                    <xdr:col>1</xdr:col>
                    <xdr:colOff>9525</xdr:colOff>
                    <xdr:row>17</xdr:row>
                    <xdr:rowOff>38100</xdr:rowOff>
                  </from>
                  <to>
                    <xdr:col>5</xdr:col>
                    <xdr:colOff>19050</xdr:colOff>
                    <xdr:row>18</xdr:row>
                    <xdr:rowOff>19050</xdr:rowOff>
                  </to>
                </anchor>
              </controlPr>
            </control>
          </mc:Choice>
        </mc:AlternateContent>
        <mc:AlternateContent xmlns:mc="http://schemas.openxmlformats.org/markup-compatibility/2006">
          <mc:Choice Requires="x14">
            <control shapeId="8244" r:id="rId55" name="Option Button 52">
              <controlPr defaultSize="0" autoFill="0" autoLine="0" autoPict="0">
                <anchor moveWithCells="1">
                  <from>
                    <xdr:col>1</xdr:col>
                    <xdr:colOff>9525</xdr:colOff>
                    <xdr:row>18</xdr:row>
                    <xdr:rowOff>47625</xdr:rowOff>
                  </from>
                  <to>
                    <xdr:col>1</xdr:col>
                    <xdr:colOff>5667375</xdr:colOff>
                    <xdr:row>19</xdr:row>
                    <xdr:rowOff>0</xdr:rowOff>
                  </to>
                </anchor>
              </controlPr>
            </control>
          </mc:Choice>
        </mc:AlternateContent>
        <mc:AlternateContent xmlns:mc="http://schemas.openxmlformats.org/markup-compatibility/2006">
          <mc:Choice Requires="x14">
            <control shapeId="8245" r:id="rId56" name="Option Button 53">
              <controlPr defaultSize="0" autoFill="0" autoLine="0" autoPict="0">
                <anchor moveWithCells="1">
                  <from>
                    <xdr:col>3</xdr:col>
                    <xdr:colOff>19050</xdr:colOff>
                    <xdr:row>18</xdr:row>
                    <xdr:rowOff>57150</xdr:rowOff>
                  </from>
                  <to>
                    <xdr:col>4</xdr:col>
                    <xdr:colOff>0</xdr:colOff>
                    <xdr:row>19</xdr:row>
                    <xdr:rowOff>9525</xdr:rowOff>
                  </to>
                </anchor>
              </controlPr>
            </control>
          </mc:Choice>
        </mc:AlternateContent>
        <mc:AlternateContent xmlns:mc="http://schemas.openxmlformats.org/markup-compatibility/2006">
          <mc:Choice Requires="x14">
            <control shapeId="8246" r:id="rId57" name="Group Box 54">
              <controlPr defaultSize="0" autoFill="0" autoPict="0" altText="">
                <anchor moveWithCells="1">
                  <from>
                    <xdr:col>1</xdr:col>
                    <xdr:colOff>9525</xdr:colOff>
                    <xdr:row>18</xdr:row>
                    <xdr:rowOff>28575</xdr:rowOff>
                  </from>
                  <to>
                    <xdr:col>5</xdr:col>
                    <xdr:colOff>19050</xdr:colOff>
                    <xdr:row>19</xdr:row>
                    <xdr:rowOff>9525</xdr:rowOff>
                  </to>
                </anchor>
              </controlPr>
            </control>
          </mc:Choice>
        </mc:AlternateContent>
        <mc:AlternateContent xmlns:mc="http://schemas.openxmlformats.org/markup-compatibility/2006">
          <mc:Choice Requires="x14">
            <control shapeId="8247" r:id="rId58" name="Option Button 55">
              <controlPr defaultSize="0" autoFill="0" autoLine="0" autoPict="0">
                <anchor moveWithCells="1">
                  <from>
                    <xdr:col>1</xdr:col>
                    <xdr:colOff>9525</xdr:colOff>
                    <xdr:row>19</xdr:row>
                    <xdr:rowOff>47625</xdr:rowOff>
                  </from>
                  <to>
                    <xdr:col>1</xdr:col>
                    <xdr:colOff>5667375</xdr:colOff>
                    <xdr:row>20</xdr:row>
                    <xdr:rowOff>0</xdr:rowOff>
                  </to>
                </anchor>
              </controlPr>
            </control>
          </mc:Choice>
        </mc:AlternateContent>
        <mc:AlternateContent xmlns:mc="http://schemas.openxmlformats.org/markup-compatibility/2006">
          <mc:Choice Requires="x14">
            <control shapeId="8248" r:id="rId59" name="Option Button 56">
              <controlPr defaultSize="0" autoFill="0" autoLine="0" autoPict="0">
                <anchor moveWithCells="1">
                  <from>
                    <xdr:col>3</xdr:col>
                    <xdr:colOff>19050</xdr:colOff>
                    <xdr:row>19</xdr:row>
                    <xdr:rowOff>57150</xdr:rowOff>
                  </from>
                  <to>
                    <xdr:col>4</xdr:col>
                    <xdr:colOff>0</xdr:colOff>
                    <xdr:row>20</xdr:row>
                    <xdr:rowOff>9525</xdr:rowOff>
                  </to>
                </anchor>
              </controlPr>
            </control>
          </mc:Choice>
        </mc:AlternateContent>
        <mc:AlternateContent xmlns:mc="http://schemas.openxmlformats.org/markup-compatibility/2006">
          <mc:Choice Requires="x14">
            <control shapeId="8249" r:id="rId60" name="Group Box 57">
              <controlPr defaultSize="0" autoFill="0" autoPict="0" altText="">
                <anchor moveWithCells="1">
                  <from>
                    <xdr:col>1</xdr:col>
                    <xdr:colOff>9525</xdr:colOff>
                    <xdr:row>19</xdr:row>
                    <xdr:rowOff>28575</xdr:rowOff>
                  </from>
                  <to>
                    <xdr:col>5</xdr:col>
                    <xdr:colOff>19050</xdr:colOff>
                    <xdr:row>20</xdr:row>
                    <xdr:rowOff>9525</xdr:rowOff>
                  </to>
                </anchor>
              </controlPr>
            </control>
          </mc:Choice>
        </mc:AlternateContent>
        <mc:AlternateContent xmlns:mc="http://schemas.openxmlformats.org/markup-compatibility/2006">
          <mc:Choice Requires="x14">
            <control shapeId="8250" r:id="rId61" name="Option Button 58">
              <controlPr defaultSize="0" autoFill="0" autoLine="0" autoPict="0">
                <anchor moveWithCells="1">
                  <from>
                    <xdr:col>1</xdr:col>
                    <xdr:colOff>9525</xdr:colOff>
                    <xdr:row>20</xdr:row>
                    <xdr:rowOff>38100</xdr:rowOff>
                  </from>
                  <to>
                    <xdr:col>1</xdr:col>
                    <xdr:colOff>5667375</xdr:colOff>
                    <xdr:row>20</xdr:row>
                    <xdr:rowOff>809625</xdr:rowOff>
                  </to>
                </anchor>
              </controlPr>
            </control>
          </mc:Choice>
        </mc:AlternateContent>
        <mc:AlternateContent xmlns:mc="http://schemas.openxmlformats.org/markup-compatibility/2006">
          <mc:Choice Requires="x14">
            <control shapeId="8251" r:id="rId62" name="Option Button 59">
              <controlPr defaultSize="0" autoFill="0" autoLine="0" autoPict="0">
                <anchor moveWithCells="1">
                  <from>
                    <xdr:col>3</xdr:col>
                    <xdr:colOff>19050</xdr:colOff>
                    <xdr:row>20</xdr:row>
                    <xdr:rowOff>47625</xdr:rowOff>
                  </from>
                  <to>
                    <xdr:col>4</xdr:col>
                    <xdr:colOff>0</xdr:colOff>
                    <xdr:row>21</xdr:row>
                    <xdr:rowOff>0</xdr:rowOff>
                  </to>
                </anchor>
              </controlPr>
            </control>
          </mc:Choice>
        </mc:AlternateContent>
        <mc:AlternateContent xmlns:mc="http://schemas.openxmlformats.org/markup-compatibility/2006">
          <mc:Choice Requires="x14">
            <control shapeId="8252" r:id="rId63" name="Group Box 60">
              <controlPr defaultSize="0" autoFill="0" autoPict="0" altText="">
                <anchor moveWithCells="1">
                  <from>
                    <xdr:col>1</xdr:col>
                    <xdr:colOff>9525</xdr:colOff>
                    <xdr:row>20</xdr:row>
                    <xdr:rowOff>19050</xdr:rowOff>
                  </from>
                  <to>
                    <xdr:col>5</xdr:col>
                    <xdr:colOff>19050</xdr:colOff>
                    <xdr:row>21</xdr:row>
                    <xdr:rowOff>0</xdr:rowOff>
                  </to>
                </anchor>
              </controlPr>
            </control>
          </mc:Choice>
        </mc:AlternateContent>
        <mc:AlternateContent xmlns:mc="http://schemas.openxmlformats.org/markup-compatibility/2006">
          <mc:Choice Requires="x14">
            <control shapeId="8253" r:id="rId64" name="Option Button 61">
              <controlPr defaultSize="0" autoFill="0" autoLine="0" autoPict="0">
                <anchor moveWithCells="1">
                  <from>
                    <xdr:col>1</xdr:col>
                    <xdr:colOff>9525</xdr:colOff>
                    <xdr:row>21</xdr:row>
                    <xdr:rowOff>19050</xdr:rowOff>
                  </from>
                  <to>
                    <xdr:col>1</xdr:col>
                    <xdr:colOff>5667375</xdr:colOff>
                    <xdr:row>21</xdr:row>
                    <xdr:rowOff>790575</xdr:rowOff>
                  </to>
                </anchor>
              </controlPr>
            </control>
          </mc:Choice>
        </mc:AlternateContent>
        <mc:AlternateContent xmlns:mc="http://schemas.openxmlformats.org/markup-compatibility/2006">
          <mc:Choice Requires="x14">
            <control shapeId="8254" r:id="rId65" name="Option Button 62">
              <controlPr defaultSize="0" autoFill="0" autoLine="0" autoPict="0">
                <anchor moveWithCells="1">
                  <from>
                    <xdr:col>3</xdr:col>
                    <xdr:colOff>19050</xdr:colOff>
                    <xdr:row>21</xdr:row>
                    <xdr:rowOff>28575</xdr:rowOff>
                  </from>
                  <to>
                    <xdr:col>4</xdr:col>
                    <xdr:colOff>0</xdr:colOff>
                    <xdr:row>21</xdr:row>
                    <xdr:rowOff>800100</xdr:rowOff>
                  </to>
                </anchor>
              </controlPr>
            </control>
          </mc:Choice>
        </mc:AlternateContent>
        <mc:AlternateContent xmlns:mc="http://schemas.openxmlformats.org/markup-compatibility/2006">
          <mc:Choice Requires="x14">
            <control shapeId="8255" r:id="rId66" name="Group Box 63">
              <controlPr defaultSize="0" autoFill="0" autoPict="0" altText="">
                <anchor moveWithCells="1">
                  <from>
                    <xdr:col>1</xdr:col>
                    <xdr:colOff>9525</xdr:colOff>
                    <xdr:row>21</xdr:row>
                    <xdr:rowOff>0</xdr:rowOff>
                  </from>
                  <to>
                    <xdr:col>5</xdr:col>
                    <xdr:colOff>19050</xdr:colOff>
                    <xdr:row>21</xdr:row>
                    <xdr:rowOff>800100</xdr:rowOff>
                  </to>
                </anchor>
              </controlPr>
            </control>
          </mc:Choice>
        </mc:AlternateContent>
        <mc:AlternateContent xmlns:mc="http://schemas.openxmlformats.org/markup-compatibility/2006">
          <mc:Choice Requires="x14">
            <control shapeId="8256" r:id="rId67" name="Option Button 64">
              <controlPr defaultSize="0" autoFill="0" autoLine="0" autoPict="0">
                <anchor moveWithCells="1">
                  <from>
                    <xdr:col>1</xdr:col>
                    <xdr:colOff>9525</xdr:colOff>
                    <xdr:row>22</xdr:row>
                    <xdr:rowOff>28575</xdr:rowOff>
                  </from>
                  <to>
                    <xdr:col>1</xdr:col>
                    <xdr:colOff>5667375</xdr:colOff>
                    <xdr:row>22</xdr:row>
                    <xdr:rowOff>809625</xdr:rowOff>
                  </to>
                </anchor>
              </controlPr>
            </control>
          </mc:Choice>
        </mc:AlternateContent>
        <mc:AlternateContent xmlns:mc="http://schemas.openxmlformats.org/markup-compatibility/2006">
          <mc:Choice Requires="x14">
            <control shapeId="8257" r:id="rId68" name="Option Button 65">
              <controlPr defaultSize="0" autoFill="0" autoLine="0" autoPict="0">
                <anchor moveWithCells="1">
                  <from>
                    <xdr:col>3</xdr:col>
                    <xdr:colOff>19050</xdr:colOff>
                    <xdr:row>22</xdr:row>
                    <xdr:rowOff>38100</xdr:rowOff>
                  </from>
                  <to>
                    <xdr:col>4</xdr:col>
                    <xdr:colOff>0</xdr:colOff>
                    <xdr:row>23</xdr:row>
                    <xdr:rowOff>0</xdr:rowOff>
                  </to>
                </anchor>
              </controlPr>
            </control>
          </mc:Choice>
        </mc:AlternateContent>
        <mc:AlternateContent xmlns:mc="http://schemas.openxmlformats.org/markup-compatibility/2006">
          <mc:Choice Requires="x14">
            <control shapeId="8258" r:id="rId69" name="Group Box 66">
              <controlPr defaultSize="0" autoFill="0" autoPict="0" altText="">
                <anchor moveWithCells="1">
                  <from>
                    <xdr:col>1</xdr:col>
                    <xdr:colOff>9525</xdr:colOff>
                    <xdr:row>22</xdr:row>
                    <xdr:rowOff>9525</xdr:rowOff>
                  </from>
                  <to>
                    <xdr:col>5</xdr:col>
                    <xdr:colOff>19050</xdr:colOff>
                    <xdr:row>23</xdr:row>
                    <xdr:rowOff>0</xdr:rowOff>
                  </to>
                </anchor>
              </controlPr>
            </control>
          </mc:Choice>
        </mc:AlternateContent>
        <mc:AlternateContent xmlns:mc="http://schemas.openxmlformats.org/markup-compatibility/2006">
          <mc:Choice Requires="x14">
            <control shapeId="8259" r:id="rId70" name="Option Button 67">
              <controlPr defaultSize="0" autoFill="0" autoLine="0" autoPict="0">
                <anchor moveWithCells="1">
                  <from>
                    <xdr:col>1</xdr:col>
                    <xdr:colOff>9525</xdr:colOff>
                    <xdr:row>23</xdr:row>
                    <xdr:rowOff>28575</xdr:rowOff>
                  </from>
                  <to>
                    <xdr:col>1</xdr:col>
                    <xdr:colOff>5667375</xdr:colOff>
                    <xdr:row>23</xdr:row>
                    <xdr:rowOff>800100</xdr:rowOff>
                  </to>
                </anchor>
              </controlPr>
            </control>
          </mc:Choice>
        </mc:AlternateContent>
        <mc:AlternateContent xmlns:mc="http://schemas.openxmlformats.org/markup-compatibility/2006">
          <mc:Choice Requires="x14">
            <control shapeId="8260" r:id="rId71" name="Option Button 68">
              <controlPr defaultSize="0" autoFill="0" autoLine="0" autoPict="0">
                <anchor moveWithCells="1">
                  <from>
                    <xdr:col>3</xdr:col>
                    <xdr:colOff>19050</xdr:colOff>
                    <xdr:row>23</xdr:row>
                    <xdr:rowOff>38100</xdr:rowOff>
                  </from>
                  <to>
                    <xdr:col>4</xdr:col>
                    <xdr:colOff>0</xdr:colOff>
                    <xdr:row>23</xdr:row>
                    <xdr:rowOff>809625</xdr:rowOff>
                  </to>
                </anchor>
              </controlPr>
            </control>
          </mc:Choice>
        </mc:AlternateContent>
        <mc:AlternateContent xmlns:mc="http://schemas.openxmlformats.org/markup-compatibility/2006">
          <mc:Choice Requires="x14">
            <control shapeId="8261" r:id="rId72" name="Group Box 69">
              <controlPr defaultSize="0" autoFill="0" autoPict="0" altText="">
                <anchor moveWithCells="1">
                  <from>
                    <xdr:col>1</xdr:col>
                    <xdr:colOff>9525</xdr:colOff>
                    <xdr:row>23</xdr:row>
                    <xdr:rowOff>9525</xdr:rowOff>
                  </from>
                  <to>
                    <xdr:col>5</xdr:col>
                    <xdr:colOff>19050</xdr:colOff>
                    <xdr:row>23</xdr:row>
                    <xdr:rowOff>809625</xdr:rowOff>
                  </to>
                </anchor>
              </controlPr>
            </control>
          </mc:Choice>
        </mc:AlternateContent>
        <mc:AlternateContent xmlns:mc="http://schemas.openxmlformats.org/markup-compatibility/2006">
          <mc:Choice Requires="x14">
            <control shapeId="8262" r:id="rId73" name="Option Button 70">
              <controlPr defaultSize="0" autoFill="0" autoLine="0" autoPict="0">
                <anchor moveWithCells="1">
                  <from>
                    <xdr:col>1</xdr:col>
                    <xdr:colOff>9525</xdr:colOff>
                    <xdr:row>24</xdr:row>
                    <xdr:rowOff>28575</xdr:rowOff>
                  </from>
                  <to>
                    <xdr:col>1</xdr:col>
                    <xdr:colOff>5667375</xdr:colOff>
                    <xdr:row>24</xdr:row>
                    <xdr:rowOff>809625</xdr:rowOff>
                  </to>
                </anchor>
              </controlPr>
            </control>
          </mc:Choice>
        </mc:AlternateContent>
        <mc:AlternateContent xmlns:mc="http://schemas.openxmlformats.org/markup-compatibility/2006">
          <mc:Choice Requires="x14">
            <control shapeId="8263" r:id="rId74" name="Option Button 71">
              <controlPr defaultSize="0" autoFill="0" autoLine="0" autoPict="0">
                <anchor moveWithCells="1">
                  <from>
                    <xdr:col>3</xdr:col>
                    <xdr:colOff>19050</xdr:colOff>
                    <xdr:row>24</xdr:row>
                    <xdr:rowOff>38100</xdr:rowOff>
                  </from>
                  <to>
                    <xdr:col>4</xdr:col>
                    <xdr:colOff>0</xdr:colOff>
                    <xdr:row>25</xdr:row>
                    <xdr:rowOff>0</xdr:rowOff>
                  </to>
                </anchor>
              </controlPr>
            </control>
          </mc:Choice>
        </mc:AlternateContent>
        <mc:AlternateContent xmlns:mc="http://schemas.openxmlformats.org/markup-compatibility/2006">
          <mc:Choice Requires="x14">
            <control shapeId="8264" r:id="rId75" name="Group Box 72">
              <controlPr defaultSize="0" autoFill="0" autoPict="0" altText="">
                <anchor moveWithCells="1">
                  <from>
                    <xdr:col>1</xdr:col>
                    <xdr:colOff>9525</xdr:colOff>
                    <xdr:row>24</xdr:row>
                    <xdr:rowOff>9525</xdr:rowOff>
                  </from>
                  <to>
                    <xdr:col>5</xdr:col>
                    <xdr:colOff>19050</xdr:colOff>
                    <xdr:row>25</xdr:row>
                    <xdr:rowOff>0</xdr:rowOff>
                  </to>
                </anchor>
              </controlPr>
            </control>
          </mc:Choice>
        </mc:AlternateContent>
        <mc:AlternateContent xmlns:mc="http://schemas.openxmlformats.org/markup-compatibility/2006">
          <mc:Choice Requires="x14">
            <control shapeId="8265" r:id="rId76" name="Option Button 73">
              <controlPr defaultSize="0" autoFill="0" autoLine="0" autoPict="0">
                <anchor moveWithCells="1">
                  <from>
                    <xdr:col>1</xdr:col>
                    <xdr:colOff>19050</xdr:colOff>
                    <xdr:row>25</xdr:row>
                    <xdr:rowOff>28575</xdr:rowOff>
                  </from>
                  <to>
                    <xdr:col>1</xdr:col>
                    <xdr:colOff>5676900</xdr:colOff>
                    <xdr:row>25</xdr:row>
                    <xdr:rowOff>800100</xdr:rowOff>
                  </to>
                </anchor>
              </controlPr>
            </control>
          </mc:Choice>
        </mc:AlternateContent>
        <mc:AlternateContent xmlns:mc="http://schemas.openxmlformats.org/markup-compatibility/2006">
          <mc:Choice Requires="x14">
            <control shapeId="8266" r:id="rId77" name="Option Button 74">
              <controlPr defaultSize="0" autoFill="0" autoLine="0" autoPict="0">
                <anchor moveWithCells="1">
                  <from>
                    <xdr:col>3</xdr:col>
                    <xdr:colOff>28575</xdr:colOff>
                    <xdr:row>25</xdr:row>
                    <xdr:rowOff>38100</xdr:rowOff>
                  </from>
                  <to>
                    <xdr:col>5</xdr:col>
                    <xdr:colOff>9525</xdr:colOff>
                    <xdr:row>25</xdr:row>
                    <xdr:rowOff>809625</xdr:rowOff>
                  </to>
                </anchor>
              </controlPr>
            </control>
          </mc:Choice>
        </mc:AlternateContent>
        <mc:AlternateContent xmlns:mc="http://schemas.openxmlformats.org/markup-compatibility/2006">
          <mc:Choice Requires="x14">
            <control shapeId="8267" r:id="rId78" name="Group Box 75">
              <controlPr defaultSize="0" autoFill="0" autoPict="0" altText="">
                <anchor moveWithCells="1">
                  <from>
                    <xdr:col>1</xdr:col>
                    <xdr:colOff>19050</xdr:colOff>
                    <xdr:row>25</xdr:row>
                    <xdr:rowOff>9525</xdr:rowOff>
                  </from>
                  <to>
                    <xdr:col>5</xdr:col>
                    <xdr:colOff>28575</xdr:colOff>
                    <xdr:row>25</xdr:row>
                    <xdr:rowOff>809625</xdr:rowOff>
                  </to>
                </anchor>
              </controlPr>
            </control>
          </mc:Choice>
        </mc:AlternateContent>
        <mc:AlternateContent xmlns:mc="http://schemas.openxmlformats.org/markup-compatibility/2006">
          <mc:Choice Requires="x14">
            <control shapeId="8268" r:id="rId79" name="Option Button 76">
              <controlPr defaultSize="0" autoFill="0" autoLine="0" autoPict="0">
                <anchor moveWithCells="1">
                  <from>
                    <xdr:col>1</xdr:col>
                    <xdr:colOff>9525</xdr:colOff>
                    <xdr:row>26</xdr:row>
                    <xdr:rowOff>28575</xdr:rowOff>
                  </from>
                  <to>
                    <xdr:col>1</xdr:col>
                    <xdr:colOff>5667375</xdr:colOff>
                    <xdr:row>26</xdr:row>
                    <xdr:rowOff>800100</xdr:rowOff>
                  </to>
                </anchor>
              </controlPr>
            </control>
          </mc:Choice>
        </mc:AlternateContent>
        <mc:AlternateContent xmlns:mc="http://schemas.openxmlformats.org/markup-compatibility/2006">
          <mc:Choice Requires="x14">
            <control shapeId="8269" r:id="rId80" name="Option Button 77">
              <controlPr defaultSize="0" autoFill="0" autoLine="0" autoPict="0">
                <anchor moveWithCells="1">
                  <from>
                    <xdr:col>3</xdr:col>
                    <xdr:colOff>19050</xdr:colOff>
                    <xdr:row>26</xdr:row>
                    <xdr:rowOff>38100</xdr:rowOff>
                  </from>
                  <to>
                    <xdr:col>4</xdr:col>
                    <xdr:colOff>0</xdr:colOff>
                    <xdr:row>26</xdr:row>
                    <xdr:rowOff>809625</xdr:rowOff>
                  </to>
                </anchor>
              </controlPr>
            </control>
          </mc:Choice>
        </mc:AlternateContent>
        <mc:AlternateContent xmlns:mc="http://schemas.openxmlformats.org/markup-compatibility/2006">
          <mc:Choice Requires="x14">
            <control shapeId="8270" r:id="rId81" name="Group Box 78">
              <controlPr defaultSize="0" autoFill="0" autoPict="0" altText="">
                <anchor moveWithCells="1">
                  <from>
                    <xdr:col>1</xdr:col>
                    <xdr:colOff>9525</xdr:colOff>
                    <xdr:row>26</xdr:row>
                    <xdr:rowOff>9525</xdr:rowOff>
                  </from>
                  <to>
                    <xdr:col>5</xdr:col>
                    <xdr:colOff>19050</xdr:colOff>
                    <xdr:row>26</xdr:row>
                    <xdr:rowOff>809625</xdr:rowOff>
                  </to>
                </anchor>
              </controlPr>
            </control>
          </mc:Choice>
        </mc:AlternateContent>
        <mc:AlternateContent xmlns:mc="http://schemas.openxmlformats.org/markup-compatibility/2006">
          <mc:Choice Requires="x14">
            <control shapeId="8271" r:id="rId82" name="Option Button 79">
              <controlPr defaultSize="0" autoFill="0" autoLine="0" autoPict="0">
                <anchor moveWithCells="1">
                  <from>
                    <xdr:col>1</xdr:col>
                    <xdr:colOff>9525</xdr:colOff>
                    <xdr:row>27</xdr:row>
                    <xdr:rowOff>38100</xdr:rowOff>
                  </from>
                  <to>
                    <xdr:col>1</xdr:col>
                    <xdr:colOff>5667375</xdr:colOff>
                    <xdr:row>27</xdr:row>
                    <xdr:rowOff>809625</xdr:rowOff>
                  </to>
                </anchor>
              </controlPr>
            </control>
          </mc:Choice>
        </mc:AlternateContent>
        <mc:AlternateContent xmlns:mc="http://schemas.openxmlformats.org/markup-compatibility/2006">
          <mc:Choice Requires="x14">
            <control shapeId="8272" r:id="rId83" name="Option Button 80">
              <controlPr defaultSize="0" autoFill="0" autoLine="0" autoPict="0">
                <anchor moveWithCells="1">
                  <from>
                    <xdr:col>3</xdr:col>
                    <xdr:colOff>19050</xdr:colOff>
                    <xdr:row>27</xdr:row>
                    <xdr:rowOff>47625</xdr:rowOff>
                  </from>
                  <to>
                    <xdr:col>4</xdr:col>
                    <xdr:colOff>0</xdr:colOff>
                    <xdr:row>28</xdr:row>
                    <xdr:rowOff>0</xdr:rowOff>
                  </to>
                </anchor>
              </controlPr>
            </control>
          </mc:Choice>
        </mc:AlternateContent>
        <mc:AlternateContent xmlns:mc="http://schemas.openxmlformats.org/markup-compatibility/2006">
          <mc:Choice Requires="x14">
            <control shapeId="8273" r:id="rId84" name="Group Box 81">
              <controlPr defaultSize="0" autoFill="0" autoPict="0" altText="">
                <anchor moveWithCells="1">
                  <from>
                    <xdr:col>1</xdr:col>
                    <xdr:colOff>9525</xdr:colOff>
                    <xdr:row>27</xdr:row>
                    <xdr:rowOff>19050</xdr:rowOff>
                  </from>
                  <to>
                    <xdr:col>5</xdr:col>
                    <xdr:colOff>19050</xdr:colOff>
                    <xdr:row>28</xdr:row>
                    <xdr:rowOff>0</xdr:rowOff>
                  </to>
                </anchor>
              </controlPr>
            </control>
          </mc:Choice>
        </mc:AlternateContent>
        <mc:AlternateContent xmlns:mc="http://schemas.openxmlformats.org/markup-compatibility/2006">
          <mc:Choice Requires="x14">
            <control shapeId="8274" r:id="rId85" name="Option Button 82">
              <controlPr defaultSize="0" autoFill="0" autoLine="0" autoPict="0">
                <anchor moveWithCells="1">
                  <from>
                    <xdr:col>1</xdr:col>
                    <xdr:colOff>9525</xdr:colOff>
                    <xdr:row>28</xdr:row>
                    <xdr:rowOff>28575</xdr:rowOff>
                  </from>
                  <to>
                    <xdr:col>1</xdr:col>
                    <xdr:colOff>5667375</xdr:colOff>
                    <xdr:row>28</xdr:row>
                    <xdr:rowOff>800100</xdr:rowOff>
                  </to>
                </anchor>
              </controlPr>
            </control>
          </mc:Choice>
        </mc:AlternateContent>
        <mc:AlternateContent xmlns:mc="http://schemas.openxmlformats.org/markup-compatibility/2006">
          <mc:Choice Requires="x14">
            <control shapeId="8275" r:id="rId86" name="Option Button 83">
              <controlPr defaultSize="0" autoFill="0" autoLine="0" autoPict="0">
                <anchor moveWithCells="1">
                  <from>
                    <xdr:col>3</xdr:col>
                    <xdr:colOff>19050</xdr:colOff>
                    <xdr:row>28</xdr:row>
                    <xdr:rowOff>38100</xdr:rowOff>
                  </from>
                  <to>
                    <xdr:col>4</xdr:col>
                    <xdr:colOff>0</xdr:colOff>
                    <xdr:row>28</xdr:row>
                    <xdr:rowOff>809625</xdr:rowOff>
                  </to>
                </anchor>
              </controlPr>
            </control>
          </mc:Choice>
        </mc:AlternateContent>
        <mc:AlternateContent xmlns:mc="http://schemas.openxmlformats.org/markup-compatibility/2006">
          <mc:Choice Requires="x14">
            <control shapeId="8276" r:id="rId87" name="Group Box 84">
              <controlPr defaultSize="0" autoFill="0" autoPict="0" altText="">
                <anchor moveWithCells="1">
                  <from>
                    <xdr:col>1</xdr:col>
                    <xdr:colOff>9525</xdr:colOff>
                    <xdr:row>28</xdr:row>
                    <xdr:rowOff>9525</xdr:rowOff>
                  </from>
                  <to>
                    <xdr:col>5</xdr:col>
                    <xdr:colOff>19050</xdr:colOff>
                    <xdr:row>28</xdr:row>
                    <xdr:rowOff>809625</xdr:rowOff>
                  </to>
                </anchor>
              </controlPr>
            </control>
          </mc:Choice>
        </mc:AlternateContent>
        <mc:AlternateContent xmlns:mc="http://schemas.openxmlformats.org/markup-compatibility/2006">
          <mc:Choice Requires="x14">
            <control shapeId="8277" r:id="rId88" name="Option Button 85">
              <controlPr defaultSize="0" autoFill="0" autoLine="0" autoPict="0">
                <anchor moveWithCells="1">
                  <from>
                    <xdr:col>1</xdr:col>
                    <xdr:colOff>9525</xdr:colOff>
                    <xdr:row>29</xdr:row>
                    <xdr:rowOff>28575</xdr:rowOff>
                  </from>
                  <to>
                    <xdr:col>1</xdr:col>
                    <xdr:colOff>5667375</xdr:colOff>
                    <xdr:row>29</xdr:row>
                    <xdr:rowOff>800100</xdr:rowOff>
                  </to>
                </anchor>
              </controlPr>
            </control>
          </mc:Choice>
        </mc:AlternateContent>
        <mc:AlternateContent xmlns:mc="http://schemas.openxmlformats.org/markup-compatibility/2006">
          <mc:Choice Requires="x14">
            <control shapeId="8278" r:id="rId89" name="Option Button 86">
              <controlPr defaultSize="0" autoFill="0" autoLine="0" autoPict="0">
                <anchor moveWithCells="1">
                  <from>
                    <xdr:col>3</xdr:col>
                    <xdr:colOff>19050</xdr:colOff>
                    <xdr:row>29</xdr:row>
                    <xdr:rowOff>38100</xdr:rowOff>
                  </from>
                  <to>
                    <xdr:col>4</xdr:col>
                    <xdr:colOff>0</xdr:colOff>
                    <xdr:row>29</xdr:row>
                    <xdr:rowOff>809625</xdr:rowOff>
                  </to>
                </anchor>
              </controlPr>
            </control>
          </mc:Choice>
        </mc:AlternateContent>
        <mc:AlternateContent xmlns:mc="http://schemas.openxmlformats.org/markup-compatibility/2006">
          <mc:Choice Requires="x14">
            <control shapeId="8279" r:id="rId90" name="Group Box 87">
              <controlPr defaultSize="0" autoFill="0" autoPict="0" altText="">
                <anchor moveWithCells="1">
                  <from>
                    <xdr:col>1</xdr:col>
                    <xdr:colOff>9525</xdr:colOff>
                    <xdr:row>29</xdr:row>
                    <xdr:rowOff>9525</xdr:rowOff>
                  </from>
                  <to>
                    <xdr:col>5</xdr:col>
                    <xdr:colOff>19050</xdr:colOff>
                    <xdr:row>29</xdr:row>
                    <xdr:rowOff>809625</xdr:rowOff>
                  </to>
                </anchor>
              </controlPr>
            </control>
          </mc:Choice>
        </mc:AlternateContent>
        <mc:AlternateContent xmlns:mc="http://schemas.openxmlformats.org/markup-compatibility/2006">
          <mc:Choice Requires="x14">
            <control shapeId="8280" r:id="rId91" name="Option Button 88">
              <controlPr defaultSize="0" autoFill="0" autoLine="0" autoPict="0">
                <anchor moveWithCells="1">
                  <from>
                    <xdr:col>1</xdr:col>
                    <xdr:colOff>9525</xdr:colOff>
                    <xdr:row>30</xdr:row>
                    <xdr:rowOff>19050</xdr:rowOff>
                  </from>
                  <to>
                    <xdr:col>1</xdr:col>
                    <xdr:colOff>5667375</xdr:colOff>
                    <xdr:row>30</xdr:row>
                    <xdr:rowOff>790575</xdr:rowOff>
                  </to>
                </anchor>
              </controlPr>
            </control>
          </mc:Choice>
        </mc:AlternateContent>
        <mc:AlternateContent xmlns:mc="http://schemas.openxmlformats.org/markup-compatibility/2006">
          <mc:Choice Requires="x14">
            <control shapeId="8281" r:id="rId92" name="Option Button 89">
              <controlPr defaultSize="0" autoFill="0" autoLine="0" autoPict="0">
                <anchor moveWithCells="1">
                  <from>
                    <xdr:col>3</xdr:col>
                    <xdr:colOff>19050</xdr:colOff>
                    <xdr:row>30</xdr:row>
                    <xdr:rowOff>28575</xdr:rowOff>
                  </from>
                  <to>
                    <xdr:col>4</xdr:col>
                    <xdr:colOff>0</xdr:colOff>
                    <xdr:row>30</xdr:row>
                    <xdr:rowOff>800100</xdr:rowOff>
                  </to>
                </anchor>
              </controlPr>
            </control>
          </mc:Choice>
        </mc:AlternateContent>
        <mc:AlternateContent xmlns:mc="http://schemas.openxmlformats.org/markup-compatibility/2006">
          <mc:Choice Requires="x14">
            <control shapeId="8282" r:id="rId93" name="Group Box 90">
              <controlPr defaultSize="0" autoFill="0" autoPict="0" altText="">
                <anchor moveWithCells="1">
                  <from>
                    <xdr:col>1</xdr:col>
                    <xdr:colOff>9525</xdr:colOff>
                    <xdr:row>30</xdr:row>
                    <xdr:rowOff>0</xdr:rowOff>
                  </from>
                  <to>
                    <xdr:col>5</xdr:col>
                    <xdr:colOff>19050</xdr:colOff>
                    <xdr:row>30</xdr:row>
                    <xdr:rowOff>800100</xdr:rowOff>
                  </to>
                </anchor>
              </controlPr>
            </control>
          </mc:Choice>
        </mc:AlternateContent>
        <mc:AlternateContent xmlns:mc="http://schemas.openxmlformats.org/markup-compatibility/2006">
          <mc:Choice Requires="x14">
            <control shapeId="8283" r:id="rId94" name="Option Button 91">
              <controlPr defaultSize="0" autoFill="0" autoLine="0" autoPict="0">
                <anchor moveWithCells="1">
                  <from>
                    <xdr:col>1</xdr:col>
                    <xdr:colOff>9525</xdr:colOff>
                    <xdr:row>31</xdr:row>
                    <xdr:rowOff>19050</xdr:rowOff>
                  </from>
                  <to>
                    <xdr:col>1</xdr:col>
                    <xdr:colOff>5667375</xdr:colOff>
                    <xdr:row>31</xdr:row>
                    <xdr:rowOff>790575</xdr:rowOff>
                  </to>
                </anchor>
              </controlPr>
            </control>
          </mc:Choice>
        </mc:AlternateContent>
        <mc:AlternateContent xmlns:mc="http://schemas.openxmlformats.org/markup-compatibility/2006">
          <mc:Choice Requires="x14">
            <control shapeId="8284" r:id="rId95" name="Option Button 92">
              <controlPr defaultSize="0" autoFill="0" autoLine="0" autoPict="0">
                <anchor moveWithCells="1">
                  <from>
                    <xdr:col>3</xdr:col>
                    <xdr:colOff>19050</xdr:colOff>
                    <xdr:row>31</xdr:row>
                    <xdr:rowOff>28575</xdr:rowOff>
                  </from>
                  <to>
                    <xdr:col>4</xdr:col>
                    <xdr:colOff>0</xdr:colOff>
                    <xdr:row>31</xdr:row>
                    <xdr:rowOff>800100</xdr:rowOff>
                  </to>
                </anchor>
              </controlPr>
            </control>
          </mc:Choice>
        </mc:AlternateContent>
        <mc:AlternateContent xmlns:mc="http://schemas.openxmlformats.org/markup-compatibility/2006">
          <mc:Choice Requires="x14">
            <control shapeId="8285" r:id="rId96" name="Group Box 93">
              <controlPr defaultSize="0" autoFill="0" autoPict="0" altText="">
                <anchor moveWithCells="1">
                  <from>
                    <xdr:col>1</xdr:col>
                    <xdr:colOff>9525</xdr:colOff>
                    <xdr:row>31</xdr:row>
                    <xdr:rowOff>0</xdr:rowOff>
                  </from>
                  <to>
                    <xdr:col>5</xdr:col>
                    <xdr:colOff>19050</xdr:colOff>
                    <xdr:row>31</xdr:row>
                    <xdr:rowOff>800100</xdr:rowOff>
                  </to>
                </anchor>
              </controlPr>
            </control>
          </mc:Choice>
        </mc:AlternateContent>
        <mc:AlternateContent xmlns:mc="http://schemas.openxmlformats.org/markup-compatibility/2006">
          <mc:Choice Requires="x14">
            <control shapeId="8286" r:id="rId97" name="Option Button 94">
              <controlPr defaultSize="0" autoFill="0" autoLine="0" autoPict="0">
                <anchor moveWithCells="1">
                  <from>
                    <xdr:col>1</xdr:col>
                    <xdr:colOff>9525</xdr:colOff>
                    <xdr:row>32</xdr:row>
                    <xdr:rowOff>28575</xdr:rowOff>
                  </from>
                  <to>
                    <xdr:col>1</xdr:col>
                    <xdr:colOff>5667375</xdr:colOff>
                    <xdr:row>32</xdr:row>
                    <xdr:rowOff>809625</xdr:rowOff>
                  </to>
                </anchor>
              </controlPr>
            </control>
          </mc:Choice>
        </mc:AlternateContent>
        <mc:AlternateContent xmlns:mc="http://schemas.openxmlformats.org/markup-compatibility/2006">
          <mc:Choice Requires="x14">
            <control shapeId="8287" r:id="rId98" name="Option Button 95">
              <controlPr defaultSize="0" autoFill="0" autoLine="0" autoPict="0">
                <anchor moveWithCells="1">
                  <from>
                    <xdr:col>3</xdr:col>
                    <xdr:colOff>19050</xdr:colOff>
                    <xdr:row>32</xdr:row>
                    <xdr:rowOff>38100</xdr:rowOff>
                  </from>
                  <to>
                    <xdr:col>4</xdr:col>
                    <xdr:colOff>0</xdr:colOff>
                    <xdr:row>33</xdr:row>
                    <xdr:rowOff>0</xdr:rowOff>
                  </to>
                </anchor>
              </controlPr>
            </control>
          </mc:Choice>
        </mc:AlternateContent>
        <mc:AlternateContent xmlns:mc="http://schemas.openxmlformats.org/markup-compatibility/2006">
          <mc:Choice Requires="x14">
            <control shapeId="8288" r:id="rId99" name="Group Box 96">
              <controlPr defaultSize="0" autoFill="0" autoPict="0" altText="">
                <anchor moveWithCells="1">
                  <from>
                    <xdr:col>1</xdr:col>
                    <xdr:colOff>9525</xdr:colOff>
                    <xdr:row>32</xdr:row>
                    <xdr:rowOff>9525</xdr:rowOff>
                  </from>
                  <to>
                    <xdr:col>5</xdr:col>
                    <xdr:colOff>19050</xdr:colOff>
                    <xdr:row>33</xdr:row>
                    <xdr:rowOff>0</xdr:rowOff>
                  </to>
                </anchor>
              </controlPr>
            </control>
          </mc:Choice>
        </mc:AlternateContent>
        <mc:AlternateContent xmlns:mc="http://schemas.openxmlformats.org/markup-compatibility/2006">
          <mc:Choice Requires="x14">
            <control shapeId="8289" r:id="rId100" name="Option Button 97">
              <controlPr defaultSize="0" autoFill="0" autoLine="0" autoPict="0">
                <anchor moveWithCells="1">
                  <from>
                    <xdr:col>1</xdr:col>
                    <xdr:colOff>9525</xdr:colOff>
                    <xdr:row>33</xdr:row>
                    <xdr:rowOff>28575</xdr:rowOff>
                  </from>
                  <to>
                    <xdr:col>1</xdr:col>
                    <xdr:colOff>5667375</xdr:colOff>
                    <xdr:row>33</xdr:row>
                    <xdr:rowOff>800100</xdr:rowOff>
                  </to>
                </anchor>
              </controlPr>
            </control>
          </mc:Choice>
        </mc:AlternateContent>
        <mc:AlternateContent xmlns:mc="http://schemas.openxmlformats.org/markup-compatibility/2006">
          <mc:Choice Requires="x14">
            <control shapeId="8290" r:id="rId101" name="Option Button 98">
              <controlPr defaultSize="0" autoFill="0" autoLine="0" autoPict="0">
                <anchor moveWithCells="1">
                  <from>
                    <xdr:col>3</xdr:col>
                    <xdr:colOff>19050</xdr:colOff>
                    <xdr:row>33</xdr:row>
                    <xdr:rowOff>38100</xdr:rowOff>
                  </from>
                  <to>
                    <xdr:col>4</xdr:col>
                    <xdr:colOff>0</xdr:colOff>
                    <xdr:row>33</xdr:row>
                    <xdr:rowOff>809625</xdr:rowOff>
                  </to>
                </anchor>
              </controlPr>
            </control>
          </mc:Choice>
        </mc:AlternateContent>
        <mc:AlternateContent xmlns:mc="http://schemas.openxmlformats.org/markup-compatibility/2006">
          <mc:Choice Requires="x14">
            <control shapeId="8291" r:id="rId102" name="Group Box 99">
              <controlPr defaultSize="0" autoFill="0" autoPict="0" altText="">
                <anchor moveWithCells="1">
                  <from>
                    <xdr:col>1</xdr:col>
                    <xdr:colOff>9525</xdr:colOff>
                    <xdr:row>33</xdr:row>
                    <xdr:rowOff>9525</xdr:rowOff>
                  </from>
                  <to>
                    <xdr:col>5</xdr:col>
                    <xdr:colOff>19050</xdr:colOff>
                    <xdr:row>33</xdr:row>
                    <xdr:rowOff>809625</xdr:rowOff>
                  </to>
                </anchor>
              </controlPr>
            </control>
          </mc:Choice>
        </mc:AlternateContent>
        <mc:AlternateContent xmlns:mc="http://schemas.openxmlformats.org/markup-compatibility/2006">
          <mc:Choice Requires="x14">
            <control shapeId="8292" r:id="rId103" name="Option Button 100">
              <controlPr defaultSize="0" autoFill="0" autoLine="0" autoPict="0">
                <anchor moveWithCells="1">
                  <from>
                    <xdr:col>1</xdr:col>
                    <xdr:colOff>9525</xdr:colOff>
                    <xdr:row>34</xdr:row>
                    <xdr:rowOff>28575</xdr:rowOff>
                  </from>
                  <to>
                    <xdr:col>1</xdr:col>
                    <xdr:colOff>5667375</xdr:colOff>
                    <xdr:row>34</xdr:row>
                    <xdr:rowOff>809625</xdr:rowOff>
                  </to>
                </anchor>
              </controlPr>
            </control>
          </mc:Choice>
        </mc:AlternateContent>
        <mc:AlternateContent xmlns:mc="http://schemas.openxmlformats.org/markup-compatibility/2006">
          <mc:Choice Requires="x14">
            <control shapeId="8293" r:id="rId104" name="Option Button 101">
              <controlPr defaultSize="0" autoFill="0" autoLine="0" autoPict="0">
                <anchor moveWithCells="1">
                  <from>
                    <xdr:col>3</xdr:col>
                    <xdr:colOff>19050</xdr:colOff>
                    <xdr:row>34</xdr:row>
                    <xdr:rowOff>38100</xdr:rowOff>
                  </from>
                  <to>
                    <xdr:col>4</xdr:col>
                    <xdr:colOff>0</xdr:colOff>
                    <xdr:row>35</xdr:row>
                    <xdr:rowOff>0</xdr:rowOff>
                  </to>
                </anchor>
              </controlPr>
            </control>
          </mc:Choice>
        </mc:AlternateContent>
        <mc:AlternateContent xmlns:mc="http://schemas.openxmlformats.org/markup-compatibility/2006">
          <mc:Choice Requires="x14">
            <control shapeId="8294" r:id="rId105" name="Group Box 102">
              <controlPr defaultSize="0" autoFill="0" autoPict="0" altText="">
                <anchor moveWithCells="1">
                  <from>
                    <xdr:col>1</xdr:col>
                    <xdr:colOff>9525</xdr:colOff>
                    <xdr:row>34</xdr:row>
                    <xdr:rowOff>9525</xdr:rowOff>
                  </from>
                  <to>
                    <xdr:col>5</xdr:col>
                    <xdr:colOff>19050</xdr:colOff>
                    <xdr:row>35</xdr:row>
                    <xdr:rowOff>0</xdr:rowOff>
                  </to>
                </anchor>
              </controlPr>
            </control>
          </mc:Choice>
        </mc:AlternateContent>
        <mc:AlternateContent xmlns:mc="http://schemas.openxmlformats.org/markup-compatibility/2006">
          <mc:Choice Requires="x14">
            <control shapeId="8295" r:id="rId106" name="Option Button 103">
              <controlPr defaultSize="0" autoFill="0" autoLine="0" autoPict="0">
                <anchor moveWithCells="1">
                  <from>
                    <xdr:col>1</xdr:col>
                    <xdr:colOff>19050</xdr:colOff>
                    <xdr:row>35</xdr:row>
                    <xdr:rowOff>28575</xdr:rowOff>
                  </from>
                  <to>
                    <xdr:col>1</xdr:col>
                    <xdr:colOff>5676900</xdr:colOff>
                    <xdr:row>35</xdr:row>
                    <xdr:rowOff>800100</xdr:rowOff>
                  </to>
                </anchor>
              </controlPr>
            </control>
          </mc:Choice>
        </mc:AlternateContent>
        <mc:AlternateContent xmlns:mc="http://schemas.openxmlformats.org/markup-compatibility/2006">
          <mc:Choice Requires="x14">
            <control shapeId="8296" r:id="rId107" name="Option Button 104">
              <controlPr defaultSize="0" autoFill="0" autoLine="0" autoPict="0">
                <anchor moveWithCells="1">
                  <from>
                    <xdr:col>3</xdr:col>
                    <xdr:colOff>28575</xdr:colOff>
                    <xdr:row>35</xdr:row>
                    <xdr:rowOff>38100</xdr:rowOff>
                  </from>
                  <to>
                    <xdr:col>5</xdr:col>
                    <xdr:colOff>9525</xdr:colOff>
                    <xdr:row>35</xdr:row>
                    <xdr:rowOff>809625</xdr:rowOff>
                  </to>
                </anchor>
              </controlPr>
            </control>
          </mc:Choice>
        </mc:AlternateContent>
        <mc:AlternateContent xmlns:mc="http://schemas.openxmlformats.org/markup-compatibility/2006">
          <mc:Choice Requires="x14">
            <control shapeId="8297" r:id="rId108" name="Group Box 105">
              <controlPr defaultSize="0" autoFill="0" autoPict="0" altText="">
                <anchor moveWithCells="1">
                  <from>
                    <xdr:col>1</xdr:col>
                    <xdr:colOff>19050</xdr:colOff>
                    <xdr:row>35</xdr:row>
                    <xdr:rowOff>9525</xdr:rowOff>
                  </from>
                  <to>
                    <xdr:col>5</xdr:col>
                    <xdr:colOff>28575</xdr:colOff>
                    <xdr:row>35</xdr:row>
                    <xdr:rowOff>809625</xdr:rowOff>
                  </to>
                </anchor>
              </controlPr>
            </control>
          </mc:Choice>
        </mc:AlternateContent>
        <mc:AlternateContent xmlns:mc="http://schemas.openxmlformats.org/markup-compatibility/2006">
          <mc:Choice Requires="x14">
            <control shapeId="8298" r:id="rId109" name="Option Button 106">
              <controlPr defaultSize="0" autoFill="0" autoLine="0" autoPict="0">
                <anchor moveWithCells="1">
                  <from>
                    <xdr:col>1</xdr:col>
                    <xdr:colOff>9525</xdr:colOff>
                    <xdr:row>36</xdr:row>
                    <xdr:rowOff>28575</xdr:rowOff>
                  </from>
                  <to>
                    <xdr:col>1</xdr:col>
                    <xdr:colOff>5667375</xdr:colOff>
                    <xdr:row>36</xdr:row>
                    <xdr:rowOff>800100</xdr:rowOff>
                  </to>
                </anchor>
              </controlPr>
            </control>
          </mc:Choice>
        </mc:AlternateContent>
        <mc:AlternateContent xmlns:mc="http://schemas.openxmlformats.org/markup-compatibility/2006">
          <mc:Choice Requires="x14">
            <control shapeId="8299" r:id="rId110" name="Option Button 107">
              <controlPr defaultSize="0" autoFill="0" autoLine="0" autoPict="0">
                <anchor moveWithCells="1">
                  <from>
                    <xdr:col>3</xdr:col>
                    <xdr:colOff>19050</xdr:colOff>
                    <xdr:row>36</xdr:row>
                    <xdr:rowOff>38100</xdr:rowOff>
                  </from>
                  <to>
                    <xdr:col>4</xdr:col>
                    <xdr:colOff>0</xdr:colOff>
                    <xdr:row>36</xdr:row>
                    <xdr:rowOff>809625</xdr:rowOff>
                  </to>
                </anchor>
              </controlPr>
            </control>
          </mc:Choice>
        </mc:AlternateContent>
        <mc:AlternateContent xmlns:mc="http://schemas.openxmlformats.org/markup-compatibility/2006">
          <mc:Choice Requires="x14">
            <control shapeId="8300" r:id="rId111" name="Group Box 108">
              <controlPr defaultSize="0" autoFill="0" autoPict="0" altText="">
                <anchor moveWithCells="1">
                  <from>
                    <xdr:col>1</xdr:col>
                    <xdr:colOff>9525</xdr:colOff>
                    <xdr:row>36</xdr:row>
                    <xdr:rowOff>9525</xdr:rowOff>
                  </from>
                  <to>
                    <xdr:col>5</xdr:col>
                    <xdr:colOff>19050</xdr:colOff>
                    <xdr:row>36</xdr:row>
                    <xdr:rowOff>809625</xdr:rowOff>
                  </to>
                </anchor>
              </controlPr>
            </control>
          </mc:Choice>
        </mc:AlternateContent>
        <mc:AlternateContent xmlns:mc="http://schemas.openxmlformats.org/markup-compatibility/2006">
          <mc:Choice Requires="x14">
            <control shapeId="8301" r:id="rId112" name="Option Button 109">
              <controlPr defaultSize="0" autoFill="0" autoLine="0" autoPict="0">
                <anchor moveWithCells="1">
                  <from>
                    <xdr:col>1</xdr:col>
                    <xdr:colOff>9525</xdr:colOff>
                    <xdr:row>37</xdr:row>
                    <xdr:rowOff>38100</xdr:rowOff>
                  </from>
                  <to>
                    <xdr:col>1</xdr:col>
                    <xdr:colOff>5667375</xdr:colOff>
                    <xdr:row>37</xdr:row>
                    <xdr:rowOff>809625</xdr:rowOff>
                  </to>
                </anchor>
              </controlPr>
            </control>
          </mc:Choice>
        </mc:AlternateContent>
        <mc:AlternateContent xmlns:mc="http://schemas.openxmlformats.org/markup-compatibility/2006">
          <mc:Choice Requires="x14">
            <control shapeId="8302" r:id="rId113" name="Option Button 110">
              <controlPr defaultSize="0" autoFill="0" autoLine="0" autoPict="0">
                <anchor moveWithCells="1">
                  <from>
                    <xdr:col>3</xdr:col>
                    <xdr:colOff>19050</xdr:colOff>
                    <xdr:row>37</xdr:row>
                    <xdr:rowOff>47625</xdr:rowOff>
                  </from>
                  <to>
                    <xdr:col>4</xdr:col>
                    <xdr:colOff>0</xdr:colOff>
                    <xdr:row>38</xdr:row>
                    <xdr:rowOff>0</xdr:rowOff>
                  </to>
                </anchor>
              </controlPr>
            </control>
          </mc:Choice>
        </mc:AlternateContent>
        <mc:AlternateContent xmlns:mc="http://schemas.openxmlformats.org/markup-compatibility/2006">
          <mc:Choice Requires="x14">
            <control shapeId="8303" r:id="rId114" name="Group Box 111">
              <controlPr defaultSize="0" autoFill="0" autoPict="0" altText="">
                <anchor moveWithCells="1">
                  <from>
                    <xdr:col>1</xdr:col>
                    <xdr:colOff>9525</xdr:colOff>
                    <xdr:row>37</xdr:row>
                    <xdr:rowOff>19050</xdr:rowOff>
                  </from>
                  <to>
                    <xdr:col>5</xdr:col>
                    <xdr:colOff>19050</xdr:colOff>
                    <xdr:row>38</xdr:row>
                    <xdr:rowOff>0</xdr:rowOff>
                  </to>
                </anchor>
              </controlPr>
            </control>
          </mc:Choice>
        </mc:AlternateContent>
        <mc:AlternateContent xmlns:mc="http://schemas.openxmlformats.org/markup-compatibility/2006">
          <mc:Choice Requires="x14">
            <control shapeId="8304" r:id="rId115" name="Option Button 112">
              <controlPr defaultSize="0" autoFill="0" autoLine="0" autoPict="0">
                <anchor moveWithCells="1">
                  <from>
                    <xdr:col>1</xdr:col>
                    <xdr:colOff>9525</xdr:colOff>
                    <xdr:row>38</xdr:row>
                    <xdr:rowOff>28575</xdr:rowOff>
                  </from>
                  <to>
                    <xdr:col>1</xdr:col>
                    <xdr:colOff>5667375</xdr:colOff>
                    <xdr:row>38</xdr:row>
                    <xdr:rowOff>800100</xdr:rowOff>
                  </to>
                </anchor>
              </controlPr>
            </control>
          </mc:Choice>
        </mc:AlternateContent>
        <mc:AlternateContent xmlns:mc="http://schemas.openxmlformats.org/markup-compatibility/2006">
          <mc:Choice Requires="x14">
            <control shapeId="8305" r:id="rId116" name="Option Button 113">
              <controlPr defaultSize="0" autoFill="0" autoLine="0" autoPict="0">
                <anchor moveWithCells="1">
                  <from>
                    <xdr:col>3</xdr:col>
                    <xdr:colOff>19050</xdr:colOff>
                    <xdr:row>38</xdr:row>
                    <xdr:rowOff>38100</xdr:rowOff>
                  </from>
                  <to>
                    <xdr:col>4</xdr:col>
                    <xdr:colOff>0</xdr:colOff>
                    <xdr:row>38</xdr:row>
                    <xdr:rowOff>809625</xdr:rowOff>
                  </to>
                </anchor>
              </controlPr>
            </control>
          </mc:Choice>
        </mc:AlternateContent>
        <mc:AlternateContent xmlns:mc="http://schemas.openxmlformats.org/markup-compatibility/2006">
          <mc:Choice Requires="x14">
            <control shapeId="8306" r:id="rId117" name="Group Box 114">
              <controlPr defaultSize="0" autoFill="0" autoPict="0" altText="">
                <anchor moveWithCells="1">
                  <from>
                    <xdr:col>1</xdr:col>
                    <xdr:colOff>9525</xdr:colOff>
                    <xdr:row>38</xdr:row>
                    <xdr:rowOff>9525</xdr:rowOff>
                  </from>
                  <to>
                    <xdr:col>5</xdr:col>
                    <xdr:colOff>19050</xdr:colOff>
                    <xdr:row>38</xdr:row>
                    <xdr:rowOff>809625</xdr:rowOff>
                  </to>
                </anchor>
              </controlPr>
            </control>
          </mc:Choice>
        </mc:AlternateContent>
        <mc:AlternateContent xmlns:mc="http://schemas.openxmlformats.org/markup-compatibility/2006">
          <mc:Choice Requires="x14">
            <control shapeId="8307" r:id="rId118" name="Option Button 115">
              <controlPr defaultSize="0" autoFill="0" autoLine="0" autoPict="0">
                <anchor moveWithCells="1">
                  <from>
                    <xdr:col>1</xdr:col>
                    <xdr:colOff>9525</xdr:colOff>
                    <xdr:row>39</xdr:row>
                    <xdr:rowOff>28575</xdr:rowOff>
                  </from>
                  <to>
                    <xdr:col>1</xdr:col>
                    <xdr:colOff>5667375</xdr:colOff>
                    <xdr:row>39</xdr:row>
                    <xdr:rowOff>800100</xdr:rowOff>
                  </to>
                </anchor>
              </controlPr>
            </control>
          </mc:Choice>
        </mc:AlternateContent>
        <mc:AlternateContent xmlns:mc="http://schemas.openxmlformats.org/markup-compatibility/2006">
          <mc:Choice Requires="x14">
            <control shapeId="8308" r:id="rId119" name="Option Button 116">
              <controlPr defaultSize="0" autoFill="0" autoLine="0" autoPict="0">
                <anchor moveWithCells="1">
                  <from>
                    <xdr:col>3</xdr:col>
                    <xdr:colOff>19050</xdr:colOff>
                    <xdr:row>39</xdr:row>
                    <xdr:rowOff>38100</xdr:rowOff>
                  </from>
                  <to>
                    <xdr:col>4</xdr:col>
                    <xdr:colOff>0</xdr:colOff>
                    <xdr:row>39</xdr:row>
                    <xdr:rowOff>809625</xdr:rowOff>
                  </to>
                </anchor>
              </controlPr>
            </control>
          </mc:Choice>
        </mc:AlternateContent>
        <mc:AlternateContent xmlns:mc="http://schemas.openxmlformats.org/markup-compatibility/2006">
          <mc:Choice Requires="x14">
            <control shapeId="8309" r:id="rId120" name="Group Box 117">
              <controlPr defaultSize="0" autoFill="0" autoPict="0" altText="">
                <anchor moveWithCells="1">
                  <from>
                    <xdr:col>1</xdr:col>
                    <xdr:colOff>9525</xdr:colOff>
                    <xdr:row>39</xdr:row>
                    <xdr:rowOff>9525</xdr:rowOff>
                  </from>
                  <to>
                    <xdr:col>5</xdr:col>
                    <xdr:colOff>19050</xdr:colOff>
                    <xdr:row>39</xdr:row>
                    <xdr:rowOff>809625</xdr:rowOff>
                  </to>
                </anchor>
              </controlPr>
            </control>
          </mc:Choice>
        </mc:AlternateContent>
        <mc:AlternateContent xmlns:mc="http://schemas.openxmlformats.org/markup-compatibility/2006">
          <mc:Choice Requires="x14">
            <control shapeId="8310" r:id="rId121" name="Option Button 118">
              <controlPr defaultSize="0" autoFill="0" autoLine="0" autoPict="0">
                <anchor moveWithCells="1">
                  <from>
                    <xdr:col>1</xdr:col>
                    <xdr:colOff>9525</xdr:colOff>
                    <xdr:row>40</xdr:row>
                    <xdr:rowOff>19050</xdr:rowOff>
                  </from>
                  <to>
                    <xdr:col>1</xdr:col>
                    <xdr:colOff>5667375</xdr:colOff>
                    <xdr:row>40</xdr:row>
                    <xdr:rowOff>790575</xdr:rowOff>
                  </to>
                </anchor>
              </controlPr>
            </control>
          </mc:Choice>
        </mc:AlternateContent>
        <mc:AlternateContent xmlns:mc="http://schemas.openxmlformats.org/markup-compatibility/2006">
          <mc:Choice Requires="x14">
            <control shapeId="8311" r:id="rId122" name="Option Button 119">
              <controlPr defaultSize="0" autoFill="0" autoLine="0" autoPict="0">
                <anchor moveWithCells="1">
                  <from>
                    <xdr:col>3</xdr:col>
                    <xdr:colOff>19050</xdr:colOff>
                    <xdr:row>40</xdr:row>
                    <xdr:rowOff>28575</xdr:rowOff>
                  </from>
                  <to>
                    <xdr:col>4</xdr:col>
                    <xdr:colOff>0</xdr:colOff>
                    <xdr:row>40</xdr:row>
                    <xdr:rowOff>800100</xdr:rowOff>
                  </to>
                </anchor>
              </controlPr>
            </control>
          </mc:Choice>
        </mc:AlternateContent>
        <mc:AlternateContent xmlns:mc="http://schemas.openxmlformats.org/markup-compatibility/2006">
          <mc:Choice Requires="x14">
            <control shapeId="8312" r:id="rId123" name="Group Box 120">
              <controlPr defaultSize="0" autoFill="0" autoPict="0" altText="">
                <anchor moveWithCells="1">
                  <from>
                    <xdr:col>1</xdr:col>
                    <xdr:colOff>9525</xdr:colOff>
                    <xdr:row>40</xdr:row>
                    <xdr:rowOff>0</xdr:rowOff>
                  </from>
                  <to>
                    <xdr:col>5</xdr:col>
                    <xdr:colOff>19050</xdr:colOff>
                    <xdr:row>40</xdr:row>
                    <xdr:rowOff>800100</xdr:rowOff>
                  </to>
                </anchor>
              </controlPr>
            </control>
          </mc:Choice>
        </mc:AlternateContent>
        <mc:AlternateContent xmlns:mc="http://schemas.openxmlformats.org/markup-compatibility/2006">
          <mc:Choice Requires="x14">
            <control shapeId="8313" r:id="rId124" name="Option Button 121">
              <controlPr defaultSize="0" autoFill="0" autoLine="0" autoPict="0">
                <anchor moveWithCells="1">
                  <from>
                    <xdr:col>1</xdr:col>
                    <xdr:colOff>9525</xdr:colOff>
                    <xdr:row>41</xdr:row>
                    <xdr:rowOff>19050</xdr:rowOff>
                  </from>
                  <to>
                    <xdr:col>1</xdr:col>
                    <xdr:colOff>5667375</xdr:colOff>
                    <xdr:row>41</xdr:row>
                    <xdr:rowOff>790575</xdr:rowOff>
                  </to>
                </anchor>
              </controlPr>
            </control>
          </mc:Choice>
        </mc:AlternateContent>
        <mc:AlternateContent xmlns:mc="http://schemas.openxmlformats.org/markup-compatibility/2006">
          <mc:Choice Requires="x14">
            <control shapeId="8314" r:id="rId125" name="Option Button 122">
              <controlPr defaultSize="0" autoFill="0" autoLine="0" autoPict="0">
                <anchor moveWithCells="1">
                  <from>
                    <xdr:col>3</xdr:col>
                    <xdr:colOff>19050</xdr:colOff>
                    <xdr:row>41</xdr:row>
                    <xdr:rowOff>28575</xdr:rowOff>
                  </from>
                  <to>
                    <xdr:col>4</xdr:col>
                    <xdr:colOff>0</xdr:colOff>
                    <xdr:row>41</xdr:row>
                    <xdr:rowOff>800100</xdr:rowOff>
                  </to>
                </anchor>
              </controlPr>
            </control>
          </mc:Choice>
        </mc:AlternateContent>
        <mc:AlternateContent xmlns:mc="http://schemas.openxmlformats.org/markup-compatibility/2006">
          <mc:Choice Requires="x14">
            <control shapeId="8315" r:id="rId126" name="Group Box 123">
              <controlPr defaultSize="0" autoFill="0" autoPict="0" altText="">
                <anchor moveWithCells="1">
                  <from>
                    <xdr:col>1</xdr:col>
                    <xdr:colOff>9525</xdr:colOff>
                    <xdr:row>41</xdr:row>
                    <xdr:rowOff>0</xdr:rowOff>
                  </from>
                  <to>
                    <xdr:col>5</xdr:col>
                    <xdr:colOff>19050</xdr:colOff>
                    <xdr:row>41</xdr:row>
                    <xdr:rowOff>800100</xdr:rowOff>
                  </to>
                </anchor>
              </controlPr>
            </control>
          </mc:Choice>
        </mc:AlternateContent>
        <mc:AlternateContent xmlns:mc="http://schemas.openxmlformats.org/markup-compatibility/2006">
          <mc:Choice Requires="x14">
            <control shapeId="8316" r:id="rId127" name="Option Button 124">
              <controlPr defaultSize="0" autoFill="0" autoLine="0" autoPict="0">
                <anchor moveWithCells="1">
                  <from>
                    <xdr:col>1</xdr:col>
                    <xdr:colOff>9525</xdr:colOff>
                    <xdr:row>42</xdr:row>
                    <xdr:rowOff>28575</xdr:rowOff>
                  </from>
                  <to>
                    <xdr:col>1</xdr:col>
                    <xdr:colOff>5667375</xdr:colOff>
                    <xdr:row>42</xdr:row>
                    <xdr:rowOff>809625</xdr:rowOff>
                  </to>
                </anchor>
              </controlPr>
            </control>
          </mc:Choice>
        </mc:AlternateContent>
        <mc:AlternateContent xmlns:mc="http://schemas.openxmlformats.org/markup-compatibility/2006">
          <mc:Choice Requires="x14">
            <control shapeId="8317" r:id="rId128" name="Option Button 125">
              <controlPr defaultSize="0" autoFill="0" autoLine="0" autoPict="0">
                <anchor moveWithCells="1">
                  <from>
                    <xdr:col>3</xdr:col>
                    <xdr:colOff>19050</xdr:colOff>
                    <xdr:row>42</xdr:row>
                    <xdr:rowOff>38100</xdr:rowOff>
                  </from>
                  <to>
                    <xdr:col>4</xdr:col>
                    <xdr:colOff>0</xdr:colOff>
                    <xdr:row>43</xdr:row>
                    <xdr:rowOff>0</xdr:rowOff>
                  </to>
                </anchor>
              </controlPr>
            </control>
          </mc:Choice>
        </mc:AlternateContent>
        <mc:AlternateContent xmlns:mc="http://schemas.openxmlformats.org/markup-compatibility/2006">
          <mc:Choice Requires="x14">
            <control shapeId="8318" r:id="rId129" name="Group Box 126">
              <controlPr defaultSize="0" autoFill="0" autoPict="0" altText="">
                <anchor moveWithCells="1">
                  <from>
                    <xdr:col>1</xdr:col>
                    <xdr:colOff>9525</xdr:colOff>
                    <xdr:row>42</xdr:row>
                    <xdr:rowOff>9525</xdr:rowOff>
                  </from>
                  <to>
                    <xdr:col>5</xdr:col>
                    <xdr:colOff>19050</xdr:colOff>
                    <xdr:row>43</xdr:row>
                    <xdr:rowOff>0</xdr:rowOff>
                  </to>
                </anchor>
              </controlPr>
            </control>
          </mc:Choice>
        </mc:AlternateContent>
        <mc:AlternateContent xmlns:mc="http://schemas.openxmlformats.org/markup-compatibility/2006">
          <mc:Choice Requires="x14">
            <control shapeId="8319" r:id="rId130" name="Option Button 127">
              <controlPr defaultSize="0" autoFill="0" autoLine="0" autoPict="0">
                <anchor moveWithCells="1">
                  <from>
                    <xdr:col>1</xdr:col>
                    <xdr:colOff>9525</xdr:colOff>
                    <xdr:row>43</xdr:row>
                    <xdr:rowOff>28575</xdr:rowOff>
                  </from>
                  <to>
                    <xdr:col>1</xdr:col>
                    <xdr:colOff>5667375</xdr:colOff>
                    <xdr:row>43</xdr:row>
                    <xdr:rowOff>800100</xdr:rowOff>
                  </to>
                </anchor>
              </controlPr>
            </control>
          </mc:Choice>
        </mc:AlternateContent>
        <mc:AlternateContent xmlns:mc="http://schemas.openxmlformats.org/markup-compatibility/2006">
          <mc:Choice Requires="x14">
            <control shapeId="8320" r:id="rId131" name="Option Button 128">
              <controlPr defaultSize="0" autoFill="0" autoLine="0" autoPict="0">
                <anchor moveWithCells="1">
                  <from>
                    <xdr:col>3</xdr:col>
                    <xdr:colOff>19050</xdr:colOff>
                    <xdr:row>43</xdr:row>
                    <xdr:rowOff>38100</xdr:rowOff>
                  </from>
                  <to>
                    <xdr:col>4</xdr:col>
                    <xdr:colOff>0</xdr:colOff>
                    <xdr:row>43</xdr:row>
                    <xdr:rowOff>809625</xdr:rowOff>
                  </to>
                </anchor>
              </controlPr>
            </control>
          </mc:Choice>
        </mc:AlternateContent>
        <mc:AlternateContent xmlns:mc="http://schemas.openxmlformats.org/markup-compatibility/2006">
          <mc:Choice Requires="x14">
            <control shapeId="8321" r:id="rId132" name="Group Box 129">
              <controlPr defaultSize="0" autoFill="0" autoPict="0" altText="">
                <anchor moveWithCells="1">
                  <from>
                    <xdr:col>1</xdr:col>
                    <xdr:colOff>9525</xdr:colOff>
                    <xdr:row>43</xdr:row>
                    <xdr:rowOff>9525</xdr:rowOff>
                  </from>
                  <to>
                    <xdr:col>5</xdr:col>
                    <xdr:colOff>19050</xdr:colOff>
                    <xdr:row>43</xdr:row>
                    <xdr:rowOff>809625</xdr:rowOff>
                  </to>
                </anchor>
              </controlPr>
            </control>
          </mc:Choice>
        </mc:AlternateContent>
        <mc:AlternateContent xmlns:mc="http://schemas.openxmlformats.org/markup-compatibility/2006">
          <mc:Choice Requires="x14">
            <control shapeId="8322" r:id="rId133" name="Option Button 130">
              <controlPr defaultSize="0" autoFill="0" autoLine="0" autoPict="0">
                <anchor moveWithCells="1">
                  <from>
                    <xdr:col>1</xdr:col>
                    <xdr:colOff>9525</xdr:colOff>
                    <xdr:row>44</xdr:row>
                    <xdr:rowOff>28575</xdr:rowOff>
                  </from>
                  <to>
                    <xdr:col>1</xdr:col>
                    <xdr:colOff>5667375</xdr:colOff>
                    <xdr:row>44</xdr:row>
                    <xdr:rowOff>809625</xdr:rowOff>
                  </to>
                </anchor>
              </controlPr>
            </control>
          </mc:Choice>
        </mc:AlternateContent>
        <mc:AlternateContent xmlns:mc="http://schemas.openxmlformats.org/markup-compatibility/2006">
          <mc:Choice Requires="x14">
            <control shapeId="8323" r:id="rId134" name="Option Button 131">
              <controlPr defaultSize="0" autoFill="0" autoLine="0" autoPict="0">
                <anchor moveWithCells="1">
                  <from>
                    <xdr:col>3</xdr:col>
                    <xdr:colOff>19050</xdr:colOff>
                    <xdr:row>44</xdr:row>
                    <xdr:rowOff>38100</xdr:rowOff>
                  </from>
                  <to>
                    <xdr:col>4</xdr:col>
                    <xdr:colOff>0</xdr:colOff>
                    <xdr:row>45</xdr:row>
                    <xdr:rowOff>0</xdr:rowOff>
                  </to>
                </anchor>
              </controlPr>
            </control>
          </mc:Choice>
        </mc:AlternateContent>
        <mc:AlternateContent xmlns:mc="http://schemas.openxmlformats.org/markup-compatibility/2006">
          <mc:Choice Requires="x14">
            <control shapeId="8324" r:id="rId135" name="Group Box 132">
              <controlPr defaultSize="0" autoFill="0" autoPict="0" altText="">
                <anchor moveWithCells="1">
                  <from>
                    <xdr:col>1</xdr:col>
                    <xdr:colOff>9525</xdr:colOff>
                    <xdr:row>44</xdr:row>
                    <xdr:rowOff>9525</xdr:rowOff>
                  </from>
                  <to>
                    <xdr:col>5</xdr:col>
                    <xdr:colOff>19050</xdr:colOff>
                    <xdr:row>45</xdr:row>
                    <xdr:rowOff>0</xdr:rowOff>
                  </to>
                </anchor>
              </controlPr>
            </control>
          </mc:Choice>
        </mc:AlternateContent>
        <mc:AlternateContent xmlns:mc="http://schemas.openxmlformats.org/markup-compatibility/2006">
          <mc:Choice Requires="x14">
            <control shapeId="8325" r:id="rId136" name="Option Button 133">
              <controlPr defaultSize="0" autoFill="0" autoLine="0" autoPict="0">
                <anchor moveWithCells="1">
                  <from>
                    <xdr:col>1</xdr:col>
                    <xdr:colOff>19050</xdr:colOff>
                    <xdr:row>45</xdr:row>
                    <xdr:rowOff>28575</xdr:rowOff>
                  </from>
                  <to>
                    <xdr:col>1</xdr:col>
                    <xdr:colOff>5676900</xdr:colOff>
                    <xdr:row>45</xdr:row>
                    <xdr:rowOff>800100</xdr:rowOff>
                  </to>
                </anchor>
              </controlPr>
            </control>
          </mc:Choice>
        </mc:AlternateContent>
        <mc:AlternateContent xmlns:mc="http://schemas.openxmlformats.org/markup-compatibility/2006">
          <mc:Choice Requires="x14">
            <control shapeId="8326" r:id="rId137" name="Option Button 134">
              <controlPr defaultSize="0" autoFill="0" autoLine="0" autoPict="0">
                <anchor moveWithCells="1">
                  <from>
                    <xdr:col>3</xdr:col>
                    <xdr:colOff>28575</xdr:colOff>
                    <xdr:row>45</xdr:row>
                    <xdr:rowOff>38100</xdr:rowOff>
                  </from>
                  <to>
                    <xdr:col>5</xdr:col>
                    <xdr:colOff>9525</xdr:colOff>
                    <xdr:row>45</xdr:row>
                    <xdr:rowOff>809625</xdr:rowOff>
                  </to>
                </anchor>
              </controlPr>
            </control>
          </mc:Choice>
        </mc:AlternateContent>
        <mc:AlternateContent xmlns:mc="http://schemas.openxmlformats.org/markup-compatibility/2006">
          <mc:Choice Requires="x14">
            <control shapeId="8327" r:id="rId138" name="Group Box 135">
              <controlPr defaultSize="0" autoFill="0" autoPict="0" altText="">
                <anchor moveWithCells="1">
                  <from>
                    <xdr:col>1</xdr:col>
                    <xdr:colOff>19050</xdr:colOff>
                    <xdr:row>45</xdr:row>
                    <xdr:rowOff>9525</xdr:rowOff>
                  </from>
                  <to>
                    <xdr:col>5</xdr:col>
                    <xdr:colOff>28575</xdr:colOff>
                    <xdr:row>45</xdr:row>
                    <xdr:rowOff>809625</xdr:rowOff>
                  </to>
                </anchor>
              </controlPr>
            </control>
          </mc:Choice>
        </mc:AlternateContent>
        <mc:AlternateContent xmlns:mc="http://schemas.openxmlformats.org/markup-compatibility/2006">
          <mc:Choice Requires="x14">
            <control shapeId="8328" r:id="rId139" name="Option Button 136">
              <controlPr defaultSize="0" autoFill="0" autoLine="0" autoPict="0">
                <anchor moveWithCells="1">
                  <from>
                    <xdr:col>1</xdr:col>
                    <xdr:colOff>9525</xdr:colOff>
                    <xdr:row>46</xdr:row>
                    <xdr:rowOff>28575</xdr:rowOff>
                  </from>
                  <to>
                    <xdr:col>1</xdr:col>
                    <xdr:colOff>5667375</xdr:colOff>
                    <xdr:row>46</xdr:row>
                    <xdr:rowOff>800100</xdr:rowOff>
                  </to>
                </anchor>
              </controlPr>
            </control>
          </mc:Choice>
        </mc:AlternateContent>
        <mc:AlternateContent xmlns:mc="http://schemas.openxmlformats.org/markup-compatibility/2006">
          <mc:Choice Requires="x14">
            <control shapeId="8329" r:id="rId140" name="Option Button 137">
              <controlPr defaultSize="0" autoFill="0" autoLine="0" autoPict="0">
                <anchor moveWithCells="1">
                  <from>
                    <xdr:col>3</xdr:col>
                    <xdr:colOff>19050</xdr:colOff>
                    <xdr:row>46</xdr:row>
                    <xdr:rowOff>38100</xdr:rowOff>
                  </from>
                  <to>
                    <xdr:col>4</xdr:col>
                    <xdr:colOff>0</xdr:colOff>
                    <xdr:row>46</xdr:row>
                    <xdr:rowOff>809625</xdr:rowOff>
                  </to>
                </anchor>
              </controlPr>
            </control>
          </mc:Choice>
        </mc:AlternateContent>
        <mc:AlternateContent xmlns:mc="http://schemas.openxmlformats.org/markup-compatibility/2006">
          <mc:Choice Requires="x14">
            <control shapeId="8330" r:id="rId141" name="Group Box 138">
              <controlPr defaultSize="0" autoFill="0" autoPict="0" altText="">
                <anchor moveWithCells="1">
                  <from>
                    <xdr:col>1</xdr:col>
                    <xdr:colOff>9525</xdr:colOff>
                    <xdr:row>46</xdr:row>
                    <xdr:rowOff>9525</xdr:rowOff>
                  </from>
                  <to>
                    <xdr:col>5</xdr:col>
                    <xdr:colOff>19050</xdr:colOff>
                    <xdr:row>46</xdr:row>
                    <xdr:rowOff>809625</xdr:rowOff>
                  </to>
                </anchor>
              </controlPr>
            </control>
          </mc:Choice>
        </mc:AlternateContent>
        <mc:AlternateContent xmlns:mc="http://schemas.openxmlformats.org/markup-compatibility/2006">
          <mc:Choice Requires="x14">
            <control shapeId="8331" r:id="rId142" name="Option Button 139">
              <controlPr defaultSize="0" autoFill="0" autoLine="0" autoPict="0">
                <anchor moveWithCells="1">
                  <from>
                    <xdr:col>1</xdr:col>
                    <xdr:colOff>9525</xdr:colOff>
                    <xdr:row>47</xdr:row>
                    <xdr:rowOff>38100</xdr:rowOff>
                  </from>
                  <to>
                    <xdr:col>1</xdr:col>
                    <xdr:colOff>5667375</xdr:colOff>
                    <xdr:row>47</xdr:row>
                    <xdr:rowOff>809625</xdr:rowOff>
                  </to>
                </anchor>
              </controlPr>
            </control>
          </mc:Choice>
        </mc:AlternateContent>
        <mc:AlternateContent xmlns:mc="http://schemas.openxmlformats.org/markup-compatibility/2006">
          <mc:Choice Requires="x14">
            <control shapeId="8332" r:id="rId143" name="Option Button 140">
              <controlPr defaultSize="0" autoFill="0" autoLine="0" autoPict="0">
                <anchor moveWithCells="1">
                  <from>
                    <xdr:col>3</xdr:col>
                    <xdr:colOff>19050</xdr:colOff>
                    <xdr:row>47</xdr:row>
                    <xdr:rowOff>47625</xdr:rowOff>
                  </from>
                  <to>
                    <xdr:col>4</xdr:col>
                    <xdr:colOff>0</xdr:colOff>
                    <xdr:row>48</xdr:row>
                    <xdr:rowOff>0</xdr:rowOff>
                  </to>
                </anchor>
              </controlPr>
            </control>
          </mc:Choice>
        </mc:AlternateContent>
        <mc:AlternateContent xmlns:mc="http://schemas.openxmlformats.org/markup-compatibility/2006">
          <mc:Choice Requires="x14">
            <control shapeId="8333" r:id="rId144" name="Group Box 141">
              <controlPr defaultSize="0" autoFill="0" autoPict="0" altText="">
                <anchor moveWithCells="1">
                  <from>
                    <xdr:col>1</xdr:col>
                    <xdr:colOff>9525</xdr:colOff>
                    <xdr:row>47</xdr:row>
                    <xdr:rowOff>19050</xdr:rowOff>
                  </from>
                  <to>
                    <xdr:col>5</xdr:col>
                    <xdr:colOff>19050</xdr:colOff>
                    <xdr:row>48</xdr:row>
                    <xdr:rowOff>0</xdr:rowOff>
                  </to>
                </anchor>
              </controlPr>
            </control>
          </mc:Choice>
        </mc:AlternateContent>
        <mc:AlternateContent xmlns:mc="http://schemas.openxmlformats.org/markup-compatibility/2006">
          <mc:Choice Requires="x14">
            <control shapeId="8334" r:id="rId145" name="Option Button 142">
              <controlPr defaultSize="0" autoFill="0" autoLine="0" autoPict="0">
                <anchor moveWithCells="1">
                  <from>
                    <xdr:col>1</xdr:col>
                    <xdr:colOff>9525</xdr:colOff>
                    <xdr:row>48</xdr:row>
                    <xdr:rowOff>28575</xdr:rowOff>
                  </from>
                  <to>
                    <xdr:col>1</xdr:col>
                    <xdr:colOff>5667375</xdr:colOff>
                    <xdr:row>48</xdr:row>
                    <xdr:rowOff>800100</xdr:rowOff>
                  </to>
                </anchor>
              </controlPr>
            </control>
          </mc:Choice>
        </mc:AlternateContent>
        <mc:AlternateContent xmlns:mc="http://schemas.openxmlformats.org/markup-compatibility/2006">
          <mc:Choice Requires="x14">
            <control shapeId="8335" r:id="rId146" name="Option Button 143">
              <controlPr defaultSize="0" autoFill="0" autoLine="0" autoPict="0">
                <anchor moveWithCells="1">
                  <from>
                    <xdr:col>3</xdr:col>
                    <xdr:colOff>19050</xdr:colOff>
                    <xdr:row>48</xdr:row>
                    <xdr:rowOff>38100</xdr:rowOff>
                  </from>
                  <to>
                    <xdr:col>4</xdr:col>
                    <xdr:colOff>0</xdr:colOff>
                    <xdr:row>48</xdr:row>
                    <xdr:rowOff>809625</xdr:rowOff>
                  </to>
                </anchor>
              </controlPr>
            </control>
          </mc:Choice>
        </mc:AlternateContent>
        <mc:AlternateContent xmlns:mc="http://schemas.openxmlformats.org/markup-compatibility/2006">
          <mc:Choice Requires="x14">
            <control shapeId="8336" r:id="rId147" name="Group Box 144">
              <controlPr defaultSize="0" autoFill="0" autoPict="0" altText="">
                <anchor moveWithCells="1">
                  <from>
                    <xdr:col>1</xdr:col>
                    <xdr:colOff>9525</xdr:colOff>
                    <xdr:row>48</xdr:row>
                    <xdr:rowOff>9525</xdr:rowOff>
                  </from>
                  <to>
                    <xdr:col>5</xdr:col>
                    <xdr:colOff>19050</xdr:colOff>
                    <xdr:row>48</xdr:row>
                    <xdr:rowOff>809625</xdr:rowOff>
                  </to>
                </anchor>
              </controlPr>
            </control>
          </mc:Choice>
        </mc:AlternateContent>
        <mc:AlternateContent xmlns:mc="http://schemas.openxmlformats.org/markup-compatibility/2006">
          <mc:Choice Requires="x14">
            <control shapeId="8337" r:id="rId148" name="Option Button 145">
              <controlPr defaultSize="0" autoFill="0" autoLine="0" autoPict="0">
                <anchor moveWithCells="1">
                  <from>
                    <xdr:col>1</xdr:col>
                    <xdr:colOff>9525</xdr:colOff>
                    <xdr:row>49</xdr:row>
                    <xdr:rowOff>28575</xdr:rowOff>
                  </from>
                  <to>
                    <xdr:col>1</xdr:col>
                    <xdr:colOff>5667375</xdr:colOff>
                    <xdr:row>49</xdr:row>
                    <xdr:rowOff>800100</xdr:rowOff>
                  </to>
                </anchor>
              </controlPr>
            </control>
          </mc:Choice>
        </mc:AlternateContent>
        <mc:AlternateContent xmlns:mc="http://schemas.openxmlformats.org/markup-compatibility/2006">
          <mc:Choice Requires="x14">
            <control shapeId="8338" r:id="rId149" name="Option Button 146">
              <controlPr defaultSize="0" autoFill="0" autoLine="0" autoPict="0">
                <anchor moveWithCells="1">
                  <from>
                    <xdr:col>3</xdr:col>
                    <xdr:colOff>19050</xdr:colOff>
                    <xdr:row>49</xdr:row>
                    <xdr:rowOff>38100</xdr:rowOff>
                  </from>
                  <to>
                    <xdr:col>4</xdr:col>
                    <xdr:colOff>0</xdr:colOff>
                    <xdr:row>49</xdr:row>
                    <xdr:rowOff>809625</xdr:rowOff>
                  </to>
                </anchor>
              </controlPr>
            </control>
          </mc:Choice>
        </mc:AlternateContent>
        <mc:AlternateContent xmlns:mc="http://schemas.openxmlformats.org/markup-compatibility/2006">
          <mc:Choice Requires="x14">
            <control shapeId="8339" r:id="rId150" name="Group Box 147">
              <controlPr defaultSize="0" autoFill="0" autoPict="0" altText="">
                <anchor moveWithCells="1">
                  <from>
                    <xdr:col>1</xdr:col>
                    <xdr:colOff>9525</xdr:colOff>
                    <xdr:row>49</xdr:row>
                    <xdr:rowOff>9525</xdr:rowOff>
                  </from>
                  <to>
                    <xdr:col>5</xdr:col>
                    <xdr:colOff>19050</xdr:colOff>
                    <xdr:row>49</xdr:row>
                    <xdr:rowOff>809625</xdr:rowOff>
                  </to>
                </anchor>
              </controlPr>
            </control>
          </mc:Choice>
        </mc:AlternateContent>
        <mc:AlternateContent xmlns:mc="http://schemas.openxmlformats.org/markup-compatibility/2006">
          <mc:Choice Requires="x14">
            <control shapeId="8340" r:id="rId151" name="Option Button 148">
              <controlPr defaultSize="0" autoFill="0" autoLine="0" autoPict="0">
                <anchor moveWithCells="1">
                  <from>
                    <xdr:col>1</xdr:col>
                    <xdr:colOff>9525</xdr:colOff>
                    <xdr:row>50</xdr:row>
                    <xdr:rowOff>19050</xdr:rowOff>
                  </from>
                  <to>
                    <xdr:col>1</xdr:col>
                    <xdr:colOff>5667375</xdr:colOff>
                    <xdr:row>50</xdr:row>
                    <xdr:rowOff>790575</xdr:rowOff>
                  </to>
                </anchor>
              </controlPr>
            </control>
          </mc:Choice>
        </mc:AlternateContent>
        <mc:AlternateContent xmlns:mc="http://schemas.openxmlformats.org/markup-compatibility/2006">
          <mc:Choice Requires="x14">
            <control shapeId="8341" r:id="rId152" name="Option Button 149">
              <controlPr defaultSize="0" autoFill="0" autoLine="0" autoPict="0">
                <anchor moveWithCells="1">
                  <from>
                    <xdr:col>3</xdr:col>
                    <xdr:colOff>19050</xdr:colOff>
                    <xdr:row>50</xdr:row>
                    <xdr:rowOff>28575</xdr:rowOff>
                  </from>
                  <to>
                    <xdr:col>4</xdr:col>
                    <xdr:colOff>0</xdr:colOff>
                    <xdr:row>50</xdr:row>
                    <xdr:rowOff>800100</xdr:rowOff>
                  </to>
                </anchor>
              </controlPr>
            </control>
          </mc:Choice>
        </mc:AlternateContent>
        <mc:AlternateContent xmlns:mc="http://schemas.openxmlformats.org/markup-compatibility/2006">
          <mc:Choice Requires="x14">
            <control shapeId="8342" r:id="rId153" name="Group Box 150">
              <controlPr defaultSize="0" autoFill="0" autoPict="0" altText="">
                <anchor moveWithCells="1">
                  <from>
                    <xdr:col>1</xdr:col>
                    <xdr:colOff>9525</xdr:colOff>
                    <xdr:row>50</xdr:row>
                    <xdr:rowOff>0</xdr:rowOff>
                  </from>
                  <to>
                    <xdr:col>5</xdr:col>
                    <xdr:colOff>19050</xdr:colOff>
                    <xdr:row>50</xdr:row>
                    <xdr:rowOff>800100</xdr:rowOff>
                  </to>
                </anchor>
              </controlPr>
            </control>
          </mc:Choice>
        </mc:AlternateContent>
        <mc:AlternateContent xmlns:mc="http://schemas.openxmlformats.org/markup-compatibility/2006">
          <mc:Choice Requires="x14">
            <control shapeId="8343" r:id="rId154" name="Option Button 151">
              <controlPr defaultSize="0" autoFill="0" autoLine="0" autoPict="0">
                <anchor moveWithCells="1">
                  <from>
                    <xdr:col>1</xdr:col>
                    <xdr:colOff>9525</xdr:colOff>
                    <xdr:row>51</xdr:row>
                    <xdr:rowOff>19050</xdr:rowOff>
                  </from>
                  <to>
                    <xdr:col>1</xdr:col>
                    <xdr:colOff>5667375</xdr:colOff>
                    <xdr:row>51</xdr:row>
                    <xdr:rowOff>790575</xdr:rowOff>
                  </to>
                </anchor>
              </controlPr>
            </control>
          </mc:Choice>
        </mc:AlternateContent>
        <mc:AlternateContent xmlns:mc="http://schemas.openxmlformats.org/markup-compatibility/2006">
          <mc:Choice Requires="x14">
            <control shapeId="8344" r:id="rId155" name="Option Button 152">
              <controlPr defaultSize="0" autoFill="0" autoLine="0" autoPict="0">
                <anchor moveWithCells="1">
                  <from>
                    <xdr:col>3</xdr:col>
                    <xdr:colOff>19050</xdr:colOff>
                    <xdr:row>51</xdr:row>
                    <xdr:rowOff>28575</xdr:rowOff>
                  </from>
                  <to>
                    <xdr:col>4</xdr:col>
                    <xdr:colOff>0</xdr:colOff>
                    <xdr:row>51</xdr:row>
                    <xdr:rowOff>800100</xdr:rowOff>
                  </to>
                </anchor>
              </controlPr>
            </control>
          </mc:Choice>
        </mc:AlternateContent>
        <mc:AlternateContent xmlns:mc="http://schemas.openxmlformats.org/markup-compatibility/2006">
          <mc:Choice Requires="x14">
            <control shapeId="8345" r:id="rId156" name="Group Box 153">
              <controlPr defaultSize="0" autoFill="0" autoPict="0" altText="">
                <anchor moveWithCells="1">
                  <from>
                    <xdr:col>1</xdr:col>
                    <xdr:colOff>9525</xdr:colOff>
                    <xdr:row>51</xdr:row>
                    <xdr:rowOff>0</xdr:rowOff>
                  </from>
                  <to>
                    <xdr:col>5</xdr:col>
                    <xdr:colOff>19050</xdr:colOff>
                    <xdr:row>51</xdr:row>
                    <xdr:rowOff>800100</xdr:rowOff>
                  </to>
                </anchor>
              </controlPr>
            </control>
          </mc:Choice>
        </mc:AlternateContent>
        <mc:AlternateContent xmlns:mc="http://schemas.openxmlformats.org/markup-compatibility/2006">
          <mc:Choice Requires="x14">
            <control shapeId="8346" r:id="rId157" name="Option Button 154">
              <controlPr defaultSize="0" autoFill="0" autoLine="0" autoPict="0">
                <anchor moveWithCells="1">
                  <from>
                    <xdr:col>1</xdr:col>
                    <xdr:colOff>9525</xdr:colOff>
                    <xdr:row>52</xdr:row>
                    <xdr:rowOff>28575</xdr:rowOff>
                  </from>
                  <to>
                    <xdr:col>1</xdr:col>
                    <xdr:colOff>5667375</xdr:colOff>
                    <xdr:row>52</xdr:row>
                    <xdr:rowOff>809625</xdr:rowOff>
                  </to>
                </anchor>
              </controlPr>
            </control>
          </mc:Choice>
        </mc:AlternateContent>
        <mc:AlternateContent xmlns:mc="http://schemas.openxmlformats.org/markup-compatibility/2006">
          <mc:Choice Requires="x14">
            <control shapeId="8347" r:id="rId158" name="Option Button 155">
              <controlPr defaultSize="0" autoFill="0" autoLine="0" autoPict="0">
                <anchor moveWithCells="1">
                  <from>
                    <xdr:col>3</xdr:col>
                    <xdr:colOff>19050</xdr:colOff>
                    <xdr:row>52</xdr:row>
                    <xdr:rowOff>38100</xdr:rowOff>
                  </from>
                  <to>
                    <xdr:col>4</xdr:col>
                    <xdr:colOff>0</xdr:colOff>
                    <xdr:row>53</xdr:row>
                    <xdr:rowOff>0</xdr:rowOff>
                  </to>
                </anchor>
              </controlPr>
            </control>
          </mc:Choice>
        </mc:AlternateContent>
        <mc:AlternateContent xmlns:mc="http://schemas.openxmlformats.org/markup-compatibility/2006">
          <mc:Choice Requires="x14">
            <control shapeId="8348" r:id="rId159" name="Group Box 156">
              <controlPr defaultSize="0" autoFill="0" autoPict="0" altText="">
                <anchor moveWithCells="1">
                  <from>
                    <xdr:col>1</xdr:col>
                    <xdr:colOff>9525</xdr:colOff>
                    <xdr:row>52</xdr:row>
                    <xdr:rowOff>9525</xdr:rowOff>
                  </from>
                  <to>
                    <xdr:col>5</xdr:col>
                    <xdr:colOff>19050</xdr:colOff>
                    <xdr:row>53</xdr:row>
                    <xdr:rowOff>0</xdr:rowOff>
                  </to>
                </anchor>
              </controlPr>
            </control>
          </mc:Choice>
        </mc:AlternateContent>
        <mc:AlternateContent xmlns:mc="http://schemas.openxmlformats.org/markup-compatibility/2006">
          <mc:Choice Requires="x14">
            <control shapeId="8349" r:id="rId160" name="Option Button 157">
              <controlPr defaultSize="0" autoFill="0" autoLine="0" autoPict="0">
                <anchor moveWithCells="1">
                  <from>
                    <xdr:col>1</xdr:col>
                    <xdr:colOff>9525</xdr:colOff>
                    <xdr:row>53</xdr:row>
                    <xdr:rowOff>28575</xdr:rowOff>
                  </from>
                  <to>
                    <xdr:col>1</xdr:col>
                    <xdr:colOff>5667375</xdr:colOff>
                    <xdr:row>53</xdr:row>
                    <xdr:rowOff>800100</xdr:rowOff>
                  </to>
                </anchor>
              </controlPr>
            </control>
          </mc:Choice>
        </mc:AlternateContent>
        <mc:AlternateContent xmlns:mc="http://schemas.openxmlformats.org/markup-compatibility/2006">
          <mc:Choice Requires="x14">
            <control shapeId="8350" r:id="rId161" name="Option Button 158">
              <controlPr defaultSize="0" autoFill="0" autoLine="0" autoPict="0">
                <anchor moveWithCells="1">
                  <from>
                    <xdr:col>3</xdr:col>
                    <xdr:colOff>19050</xdr:colOff>
                    <xdr:row>53</xdr:row>
                    <xdr:rowOff>38100</xdr:rowOff>
                  </from>
                  <to>
                    <xdr:col>4</xdr:col>
                    <xdr:colOff>0</xdr:colOff>
                    <xdr:row>53</xdr:row>
                    <xdr:rowOff>809625</xdr:rowOff>
                  </to>
                </anchor>
              </controlPr>
            </control>
          </mc:Choice>
        </mc:AlternateContent>
        <mc:AlternateContent xmlns:mc="http://schemas.openxmlformats.org/markup-compatibility/2006">
          <mc:Choice Requires="x14">
            <control shapeId="8351" r:id="rId162" name="Group Box 159">
              <controlPr defaultSize="0" autoFill="0" autoPict="0" altText="">
                <anchor moveWithCells="1">
                  <from>
                    <xdr:col>1</xdr:col>
                    <xdr:colOff>9525</xdr:colOff>
                    <xdr:row>53</xdr:row>
                    <xdr:rowOff>9525</xdr:rowOff>
                  </from>
                  <to>
                    <xdr:col>5</xdr:col>
                    <xdr:colOff>19050</xdr:colOff>
                    <xdr:row>53</xdr:row>
                    <xdr:rowOff>809625</xdr:rowOff>
                  </to>
                </anchor>
              </controlPr>
            </control>
          </mc:Choice>
        </mc:AlternateContent>
        <mc:AlternateContent xmlns:mc="http://schemas.openxmlformats.org/markup-compatibility/2006">
          <mc:Choice Requires="x14">
            <control shapeId="8352" r:id="rId163" name="Option Button 160">
              <controlPr defaultSize="0" autoFill="0" autoLine="0" autoPict="0">
                <anchor moveWithCells="1">
                  <from>
                    <xdr:col>1</xdr:col>
                    <xdr:colOff>9525</xdr:colOff>
                    <xdr:row>54</xdr:row>
                    <xdr:rowOff>28575</xdr:rowOff>
                  </from>
                  <to>
                    <xdr:col>1</xdr:col>
                    <xdr:colOff>5667375</xdr:colOff>
                    <xdr:row>54</xdr:row>
                    <xdr:rowOff>809625</xdr:rowOff>
                  </to>
                </anchor>
              </controlPr>
            </control>
          </mc:Choice>
        </mc:AlternateContent>
        <mc:AlternateContent xmlns:mc="http://schemas.openxmlformats.org/markup-compatibility/2006">
          <mc:Choice Requires="x14">
            <control shapeId="8353" r:id="rId164" name="Option Button 161">
              <controlPr defaultSize="0" autoFill="0" autoLine="0" autoPict="0">
                <anchor moveWithCells="1">
                  <from>
                    <xdr:col>3</xdr:col>
                    <xdr:colOff>19050</xdr:colOff>
                    <xdr:row>54</xdr:row>
                    <xdr:rowOff>38100</xdr:rowOff>
                  </from>
                  <to>
                    <xdr:col>4</xdr:col>
                    <xdr:colOff>0</xdr:colOff>
                    <xdr:row>55</xdr:row>
                    <xdr:rowOff>0</xdr:rowOff>
                  </to>
                </anchor>
              </controlPr>
            </control>
          </mc:Choice>
        </mc:AlternateContent>
        <mc:AlternateContent xmlns:mc="http://schemas.openxmlformats.org/markup-compatibility/2006">
          <mc:Choice Requires="x14">
            <control shapeId="8354" r:id="rId165" name="Group Box 162">
              <controlPr defaultSize="0" autoFill="0" autoPict="0" altText="">
                <anchor moveWithCells="1">
                  <from>
                    <xdr:col>1</xdr:col>
                    <xdr:colOff>9525</xdr:colOff>
                    <xdr:row>54</xdr:row>
                    <xdr:rowOff>9525</xdr:rowOff>
                  </from>
                  <to>
                    <xdr:col>5</xdr:col>
                    <xdr:colOff>19050</xdr:colOff>
                    <xdr:row>55</xdr:row>
                    <xdr:rowOff>0</xdr:rowOff>
                  </to>
                </anchor>
              </controlPr>
            </control>
          </mc:Choice>
        </mc:AlternateContent>
        <mc:AlternateContent xmlns:mc="http://schemas.openxmlformats.org/markup-compatibility/2006">
          <mc:Choice Requires="x14">
            <control shapeId="8355" r:id="rId166" name="Option Button 163">
              <controlPr defaultSize="0" autoFill="0" autoLine="0" autoPict="0">
                <anchor moveWithCells="1">
                  <from>
                    <xdr:col>1</xdr:col>
                    <xdr:colOff>19050</xdr:colOff>
                    <xdr:row>55</xdr:row>
                    <xdr:rowOff>28575</xdr:rowOff>
                  </from>
                  <to>
                    <xdr:col>1</xdr:col>
                    <xdr:colOff>5676900</xdr:colOff>
                    <xdr:row>55</xdr:row>
                    <xdr:rowOff>800100</xdr:rowOff>
                  </to>
                </anchor>
              </controlPr>
            </control>
          </mc:Choice>
        </mc:AlternateContent>
        <mc:AlternateContent xmlns:mc="http://schemas.openxmlformats.org/markup-compatibility/2006">
          <mc:Choice Requires="x14">
            <control shapeId="8356" r:id="rId167" name="Option Button 164">
              <controlPr defaultSize="0" autoFill="0" autoLine="0" autoPict="0">
                <anchor moveWithCells="1">
                  <from>
                    <xdr:col>3</xdr:col>
                    <xdr:colOff>28575</xdr:colOff>
                    <xdr:row>55</xdr:row>
                    <xdr:rowOff>38100</xdr:rowOff>
                  </from>
                  <to>
                    <xdr:col>5</xdr:col>
                    <xdr:colOff>9525</xdr:colOff>
                    <xdr:row>55</xdr:row>
                    <xdr:rowOff>809625</xdr:rowOff>
                  </to>
                </anchor>
              </controlPr>
            </control>
          </mc:Choice>
        </mc:AlternateContent>
        <mc:AlternateContent xmlns:mc="http://schemas.openxmlformats.org/markup-compatibility/2006">
          <mc:Choice Requires="x14">
            <control shapeId="8357" r:id="rId168" name="Group Box 165">
              <controlPr defaultSize="0" autoFill="0" autoPict="0" altText="">
                <anchor moveWithCells="1">
                  <from>
                    <xdr:col>1</xdr:col>
                    <xdr:colOff>19050</xdr:colOff>
                    <xdr:row>55</xdr:row>
                    <xdr:rowOff>9525</xdr:rowOff>
                  </from>
                  <to>
                    <xdr:col>5</xdr:col>
                    <xdr:colOff>28575</xdr:colOff>
                    <xdr:row>55</xdr:row>
                    <xdr:rowOff>809625</xdr:rowOff>
                  </to>
                </anchor>
              </controlPr>
            </control>
          </mc:Choice>
        </mc:AlternateContent>
        <mc:AlternateContent xmlns:mc="http://schemas.openxmlformats.org/markup-compatibility/2006">
          <mc:Choice Requires="x14">
            <control shapeId="8358" r:id="rId169" name="Option Button 166">
              <controlPr defaultSize="0" autoFill="0" autoLine="0" autoPict="0">
                <anchor moveWithCells="1">
                  <from>
                    <xdr:col>1</xdr:col>
                    <xdr:colOff>9525</xdr:colOff>
                    <xdr:row>56</xdr:row>
                    <xdr:rowOff>28575</xdr:rowOff>
                  </from>
                  <to>
                    <xdr:col>1</xdr:col>
                    <xdr:colOff>5667375</xdr:colOff>
                    <xdr:row>56</xdr:row>
                    <xdr:rowOff>800100</xdr:rowOff>
                  </to>
                </anchor>
              </controlPr>
            </control>
          </mc:Choice>
        </mc:AlternateContent>
        <mc:AlternateContent xmlns:mc="http://schemas.openxmlformats.org/markup-compatibility/2006">
          <mc:Choice Requires="x14">
            <control shapeId="8359" r:id="rId170" name="Option Button 167">
              <controlPr defaultSize="0" autoFill="0" autoLine="0" autoPict="0">
                <anchor moveWithCells="1">
                  <from>
                    <xdr:col>3</xdr:col>
                    <xdr:colOff>19050</xdr:colOff>
                    <xdr:row>56</xdr:row>
                    <xdr:rowOff>38100</xdr:rowOff>
                  </from>
                  <to>
                    <xdr:col>4</xdr:col>
                    <xdr:colOff>0</xdr:colOff>
                    <xdr:row>56</xdr:row>
                    <xdr:rowOff>809625</xdr:rowOff>
                  </to>
                </anchor>
              </controlPr>
            </control>
          </mc:Choice>
        </mc:AlternateContent>
        <mc:AlternateContent xmlns:mc="http://schemas.openxmlformats.org/markup-compatibility/2006">
          <mc:Choice Requires="x14">
            <control shapeId="8360" r:id="rId171" name="Group Box 168">
              <controlPr defaultSize="0" autoFill="0" autoPict="0" altText="">
                <anchor moveWithCells="1">
                  <from>
                    <xdr:col>1</xdr:col>
                    <xdr:colOff>9525</xdr:colOff>
                    <xdr:row>56</xdr:row>
                    <xdr:rowOff>9525</xdr:rowOff>
                  </from>
                  <to>
                    <xdr:col>5</xdr:col>
                    <xdr:colOff>19050</xdr:colOff>
                    <xdr:row>56</xdr:row>
                    <xdr:rowOff>809625</xdr:rowOff>
                  </to>
                </anchor>
              </controlPr>
            </control>
          </mc:Choice>
        </mc:AlternateContent>
        <mc:AlternateContent xmlns:mc="http://schemas.openxmlformats.org/markup-compatibility/2006">
          <mc:Choice Requires="x14">
            <control shapeId="8361" r:id="rId172" name="Option Button 169">
              <controlPr defaultSize="0" autoFill="0" autoLine="0" autoPict="0">
                <anchor moveWithCells="1">
                  <from>
                    <xdr:col>1</xdr:col>
                    <xdr:colOff>9525</xdr:colOff>
                    <xdr:row>57</xdr:row>
                    <xdr:rowOff>38100</xdr:rowOff>
                  </from>
                  <to>
                    <xdr:col>1</xdr:col>
                    <xdr:colOff>5667375</xdr:colOff>
                    <xdr:row>57</xdr:row>
                    <xdr:rowOff>809625</xdr:rowOff>
                  </to>
                </anchor>
              </controlPr>
            </control>
          </mc:Choice>
        </mc:AlternateContent>
        <mc:AlternateContent xmlns:mc="http://schemas.openxmlformats.org/markup-compatibility/2006">
          <mc:Choice Requires="x14">
            <control shapeId="8362" r:id="rId173" name="Option Button 170">
              <controlPr defaultSize="0" autoFill="0" autoLine="0" autoPict="0">
                <anchor moveWithCells="1">
                  <from>
                    <xdr:col>3</xdr:col>
                    <xdr:colOff>19050</xdr:colOff>
                    <xdr:row>57</xdr:row>
                    <xdr:rowOff>47625</xdr:rowOff>
                  </from>
                  <to>
                    <xdr:col>4</xdr:col>
                    <xdr:colOff>0</xdr:colOff>
                    <xdr:row>58</xdr:row>
                    <xdr:rowOff>0</xdr:rowOff>
                  </to>
                </anchor>
              </controlPr>
            </control>
          </mc:Choice>
        </mc:AlternateContent>
        <mc:AlternateContent xmlns:mc="http://schemas.openxmlformats.org/markup-compatibility/2006">
          <mc:Choice Requires="x14">
            <control shapeId="8363" r:id="rId174" name="Group Box 171">
              <controlPr defaultSize="0" autoFill="0" autoPict="0" altText="">
                <anchor moveWithCells="1">
                  <from>
                    <xdr:col>1</xdr:col>
                    <xdr:colOff>9525</xdr:colOff>
                    <xdr:row>57</xdr:row>
                    <xdr:rowOff>19050</xdr:rowOff>
                  </from>
                  <to>
                    <xdr:col>5</xdr:col>
                    <xdr:colOff>19050</xdr:colOff>
                    <xdr:row>58</xdr:row>
                    <xdr:rowOff>0</xdr:rowOff>
                  </to>
                </anchor>
              </controlPr>
            </control>
          </mc:Choice>
        </mc:AlternateContent>
        <mc:AlternateContent xmlns:mc="http://schemas.openxmlformats.org/markup-compatibility/2006">
          <mc:Choice Requires="x14">
            <control shapeId="8364" r:id="rId175" name="Option Button 172">
              <controlPr defaultSize="0" autoFill="0" autoLine="0" autoPict="0">
                <anchor moveWithCells="1">
                  <from>
                    <xdr:col>1</xdr:col>
                    <xdr:colOff>9525</xdr:colOff>
                    <xdr:row>58</xdr:row>
                    <xdr:rowOff>28575</xdr:rowOff>
                  </from>
                  <to>
                    <xdr:col>1</xdr:col>
                    <xdr:colOff>5667375</xdr:colOff>
                    <xdr:row>58</xdr:row>
                    <xdr:rowOff>800100</xdr:rowOff>
                  </to>
                </anchor>
              </controlPr>
            </control>
          </mc:Choice>
        </mc:AlternateContent>
        <mc:AlternateContent xmlns:mc="http://schemas.openxmlformats.org/markup-compatibility/2006">
          <mc:Choice Requires="x14">
            <control shapeId="8365" r:id="rId176" name="Option Button 173">
              <controlPr defaultSize="0" autoFill="0" autoLine="0" autoPict="0">
                <anchor moveWithCells="1">
                  <from>
                    <xdr:col>3</xdr:col>
                    <xdr:colOff>19050</xdr:colOff>
                    <xdr:row>58</xdr:row>
                    <xdr:rowOff>38100</xdr:rowOff>
                  </from>
                  <to>
                    <xdr:col>4</xdr:col>
                    <xdr:colOff>0</xdr:colOff>
                    <xdr:row>58</xdr:row>
                    <xdr:rowOff>809625</xdr:rowOff>
                  </to>
                </anchor>
              </controlPr>
            </control>
          </mc:Choice>
        </mc:AlternateContent>
        <mc:AlternateContent xmlns:mc="http://schemas.openxmlformats.org/markup-compatibility/2006">
          <mc:Choice Requires="x14">
            <control shapeId="8366" r:id="rId177" name="Group Box 174">
              <controlPr defaultSize="0" autoFill="0" autoPict="0" altText="">
                <anchor moveWithCells="1">
                  <from>
                    <xdr:col>1</xdr:col>
                    <xdr:colOff>9525</xdr:colOff>
                    <xdr:row>58</xdr:row>
                    <xdr:rowOff>9525</xdr:rowOff>
                  </from>
                  <to>
                    <xdr:col>5</xdr:col>
                    <xdr:colOff>19050</xdr:colOff>
                    <xdr:row>58</xdr:row>
                    <xdr:rowOff>809625</xdr:rowOff>
                  </to>
                </anchor>
              </controlPr>
            </control>
          </mc:Choice>
        </mc:AlternateContent>
        <mc:AlternateContent xmlns:mc="http://schemas.openxmlformats.org/markup-compatibility/2006">
          <mc:Choice Requires="x14">
            <control shapeId="8367" r:id="rId178" name="Option Button 175">
              <controlPr defaultSize="0" autoFill="0" autoLine="0" autoPict="0">
                <anchor moveWithCells="1">
                  <from>
                    <xdr:col>1</xdr:col>
                    <xdr:colOff>9525</xdr:colOff>
                    <xdr:row>59</xdr:row>
                    <xdr:rowOff>28575</xdr:rowOff>
                  </from>
                  <to>
                    <xdr:col>1</xdr:col>
                    <xdr:colOff>5667375</xdr:colOff>
                    <xdr:row>59</xdr:row>
                    <xdr:rowOff>800100</xdr:rowOff>
                  </to>
                </anchor>
              </controlPr>
            </control>
          </mc:Choice>
        </mc:AlternateContent>
        <mc:AlternateContent xmlns:mc="http://schemas.openxmlformats.org/markup-compatibility/2006">
          <mc:Choice Requires="x14">
            <control shapeId="8368" r:id="rId179" name="Option Button 176">
              <controlPr defaultSize="0" autoFill="0" autoLine="0" autoPict="0">
                <anchor moveWithCells="1">
                  <from>
                    <xdr:col>3</xdr:col>
                    <xdr:colOff>19050</xdr:colOff>
                    <xdr:row>59</xdr:row>
                    <xdr:rowOff>38100</xdr:rowOff>
                  </from>
                  <to>
                    <xdr:col>4</xdr:col>
                    <xdr:colOff>0</xdr:colOff>
                    <xdr:row>59</xdr:row>
                    <xdr:rowOff>809625</xdr:rowOff>
                  </to>
                </anchor>
              </controlPr>
            </control>
          </mc:Choice>
        </mc:AlternateContent>
        <mc:AlternateContent xmlns:mc="http://schemas.openxmlformats.org/markup-compatibility/2006">
          <mc:Choice Requires="x14">
            <control shapeId="8369" r:id="rId180" name="Group Box 177">
              <controlPr defaultSize="0" autoFill="0" autoPict="0" altText="">
                <anchor moveWithCells="1">
                  <from>
                    <xdr:col>1</xdr:col>
                    <xdr:colOff>9525</xdr:colOff>
                    <xdr:row>59</xdr:row>
                    <xdr:rowOff>9525</xdr:rowOff>
                  </from>
                  <to>
                    <xdr:col>5</xdr:col>
                    <xdr:colOff>19050</xdr:colOff>
                    <xdr:row>59</xdr:row>
                    <xdr:rowOff>809625</xdr:rowOff>
                  </to>
                </anchor>
              </controlPr>
            </control>
          </mc:Choice>
        </mc:AlternateContent>
        <mc:AlternateContent xmlns:mc="http://schemas.openxmlformats.org/markup-compatibility/2006">
          <mc:Choice Requires="x14">
            <control shapeId="8370" r:id="rId181" name="Option Button 178">
              <controlPr defaultSize="0" autoFill="0" autoLine="0" autoPict="0">
                <anchor moveWithCells="1">
                  <from>
                    <xdr:col>1</xdr:col>
                    <xdr:colOff>9525</xdr:colOff>
                    <xdr:row>60</xdr:row>
                    <xdr:rowOff>19050</xdr:rowOff>
                  </from>
                  <to>
                    <xdr:col>1</xdr:col>
                    <xdr:colOff>5667375</xdr:colOff>
                    <xdr:row>60</xdr:row>
                    <xdr:rowOff>790575</xdr:rowOff>
                  </to>
                </anchor>
              </controlPr>
            </control>
          </mc:Choice>
        </mc:AlternateContent>
        <mc:AlternateContent xmlns:mc="http://schemas.openxmlformats.org/markup-compatibility/2006">
          <mc:Choice Requires="x14">
            <control shapeId="8371" r:id="rId182" name="Option Button 179">
              <controlPr defaultSize="0" autoFill="0" autoLine="0" autoPict="0">
                <anchor moveWithCells="1">
                  <from>
                    <xdr:col>3</xdr:col>
                    <xdr:colOff>19050</xdr:colOff>
                    <xdr:row>60</xdr:row>
                    <xdr:rowOff>28575</xdr:rowOff>
                  </from>
                  <to>
                    <xdr:col>4</xdr:col>
                    <xdr:colOff>0</xdr:colOff>
                    <xdr:row>60</xdr:row>
                    <xdr:rowOff>800100</xdr:rowOff>
                  </to>
                </anchor>
              </controlPr>
            </control>
          </mc:Choice>
        </mc:AlternateContent>
        <mc:AlternateContent xmlns:mc="http://schemas.openxmlformats.org/markup-compatibility/2006">
          <mc:Choice Requires="x14">
            <control shapeId="8372" r:id="rId183" name="Group Box 180">
              <controlPr defaultSize="0" autoFill="0" autoPict="0" altText="">
                <anchor moveWithCells="1">
                  <from>
                    <xdr:col>1</xdr:col>
                    <xdr:colOff>9525</xdr:colOff>
                    <xdr:row>60</xdr:row>
                    <xdr:rowOff>0</xdr:rowOff>
                  </from>
                  <to>
                    <xdr:col>5</xdr:col>
                    <xdr:colOff>19050</xdr:colOff>
                    <xdr:row>60</xdr:row>
                    <xdr:rowOff>800100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89"/>
  <sheetViews>
    <sheetView topLeftCell="A58" workbookViewId="0">
      <selection activeCell="D75" sqref="D75"/>
    </sheetView>
  </sheetViews>
  <sheetFormatPr defaultRowHeight="15" x14ac:dyDescent="0.25"/>
  <cols>
    <col min="1" max="1" width="38.42578125" style="5" customWidth="1"/>
    <col min="2" max="2" width="9" style="5" customWidth="1"/>
    <col min="3" max="16384" width="9.140625" style="5"/>
  </cols>
  <sheetData>
    <row r="1" spans="1:26" x14ac:dyDescent="0.25">
      <c r="A1" s="5" t="s">
        <v>123</v>
      </c>
      <c r="B1" s="10" t="s">
        <v>124</v>
      </c>
      <c r="C1" s="11" t="s">
        <v>125</v>
      </c>
      <c r="D1" s="11" t="s">
        <v>126</v>
      </c>
      <c r="E1" s="11" t="s">
        <v>127</v>
      </c>
      <c r="F1" s="11" t="s">
        <v>128</v>
      </c>
      <c r="G1" s="11" t="s">
        <v>129</v>
      </c>
      <c r="H1" s="11" t="s">
        <v>130</v>
      </c>
      <c r="I1" s="11" t="s">
        <v>131</v>
      </c>
      <c r="J1" s="11" t="s">
        <v>132</v>
      </c>
      <c r="K1" s="11" t="s">
        <v>133</v>
      </c>
      <c r="L1" s="11" t="s">
        <v>134</v>
      </c>
      <c r="M1" s="11" t="s">
        <v>135</v>
      </c>
      <c r="N1" s="11" t="s">
        <v>136</v>
      </c>
      <c r="Q1" s="11" t="s">
        <v>137</v>
      </c>
    </row>
    <row r="2" spans="1:26" x14ac:dyDescent="0.25">
      <c r="A2" s="12">
        <v>1</v>
      </c>
      <c r="B2" s="13">
        <f>Лист1!E2</f>
        <v>1</v>
      </c>
      <c r="C2" s="14">
        <f>IF(B2=1,1,0)</f>
        <v>1</v>
      </c>
      <c r="D2" s="14"/>
      <c r="E2" s="14"/>
      <c r="F2" s="14"/>
      <c r="G2" s="14"/>
      <c r="H2" s="14"/>
      <c r="I2" s="14"/>
      <c r="J2" s="14"/>
      <c r="K2" s="14"/>
      <c r="L2" s="14"/>
      <c r="M2" s="14"/>
      <c r="N2" s="14"/>
      <c r="Q2" s="5" t="s">
        <v>130</v>
      </c>
      <c r="R2" s="5" t="s">
        <v>134</v>
      </c>
      <c r="S2" s="5" t="s">
        <v>138</v>
      </c>
      <c r="T2" s="5" t="s">
        <v>136</v>
      </c>
      <c r="U2" s="5" t="s">
        <v>128</v>
      </c>
      <c r="V2" s="5" t="s">
        <v>139</v>
      </c>
      <c r="W2" s="5" t="s">
        <v>126</v>
      </c>
      <c r="X2" s="5" t="s">
        <v>140</v>
      </c>
      <c r="Y2" s="5" t="s">
        <v>141</v>
      </c>
      <c r="Z2" s="5" t="s">
        <v>135</v>
      </c>
    </row>
    <row r="3" spans="1:26" ht="15" customHeight="1" x14ac:dyDescent="0.25">
      <c r="A3" s="12">
        <v>2</v>
      </c>
      <c r="B3" s="13">
        <f>Лист1!E3</f>
        <v>1</v>
      </c>
      <c r="C3" s="14">
        <f>IF(B3=2,1,0)</f>
        <v>0</v>
      </c>
      <c r="D3" s="14"/>
      <c r="E3" s="14"/>
      <c r="F3" s="14"/>
      <c r="G3" s="14"/>
      <c r="H3" s="14"/>
      <c r="I3" s="14"/>
      <c r="J3" s="14"/>
      <c r="K3" s="14"/>
      <c r="L3" s="14"/>
      <c r="M3" s="14"/>
      <c r="N3" s="14"/>
      <c r="P3" s="5">
        <v>2</v>
      </c>
      <c r="Q3" s="15" t="s">
        <v>142</v>
      </c>
      <c r="R3" s="15" t="s">
        <v>143</v>
      </c>
      <c r="S3" s="15" t="s">
        <v>144</v>
      </c>
      <c r="T3" s="16" t="s">
        <v>145</v>
      </c>
      <c r="U3" s="15" t="s">
        <v>146</v>
      </c>
      <c r="V3" s="16" t="s">
        <v>147</v>
      </c>
      <c r="W3" s="16" t="s">
        <v>148</v>
      </c>
      <c r="X3" s="15" t="s">
        <v>149</v>
      </c>
      <c r="Y3" s="15" t="s">
        <v>150</v>
      </c>
      <c r="Z3" s="15" t="s">
        <v>151</v>
      </c>
    </row>
    <row r="4" spans="1:26" ht="15.75" customHeight="1" x14ac:dyDescent="0.25">
      <c r="A4" s="12">
        <v>3</v>
      </c>
      <c r="B4" s="13">
        <f>Лист1!E4</f>
        <v>1</v>
      </c>
      <c r="C4" s="14"/>
      <c r="D4" s="14">
        <f>IF(B4=1,0,1)</f>
        <v>0</v>
      </c>
      <c r="E4" s="14"/>
      <c r="F4" s="14"/>
      <c r="G4" s="14"/>
      <c r="H4" s="14"/>
      <c r="I4" s="14"/>
      <c r="J4" s="14"/>
      <c r="K4" s="14"/>
      <c r="L4" s="14"/>
      <c r="M4" s="14"/>
      <c r="N4" s="14"/>
      <c r="P4" s="5">
        <v>3</v>
      </c>
      <c r="Q4" s="15" t="s">
        <v>152</v>
      </c>
      <c r="R4" s="15" t="s">
        <v>153</v>
      </c>
      <c r="S4" s="16" t="s">
        <v>154</v>
      </c>
      <c r="T4" s="15" t="s">
        <v>155</v>
      </c>
      <c r="U4" s="15" t="s">
        <v>156</v>
      </c>
      <c r="V4" s="16" t="s">
        <v>157</v>
      </c>
      <c r="W4" s="15" t="s">
        <v>158</v>
      </c>
      <c r="X4" s="16" t="s">
        <v>159</v>
      </c>
      <c r="Y4" s="15" t="s">
        <v>160</v>
      </c>
      <c r="Z4" s="15" t="s">
        <v>161</v>
      </c>
    </row>
    <row r="5" spans="1:26" ht="15" customHeight="1" x14ac:dyDescent="0.25">
      <c r="A5" s="12">
        <v>4</v>
      </c>
      <c r="B5" s="13">
        <f>Лист1!E5</f>
        <v>1</v>
      </c>
      <c r="C5" s="14"/>
      <c r="D5" s="14">
        <f>IF(B5=1,0,1)</f>
        <v>0</v>
      </c>
      <c r="E5" s="14"/>
      <c r="F5" s="14"/>
      <c r="G5" s="14"/>
      <c r="H5" s="14"/>
      <c r="I5" s="14"/>
      <c r="J5" s="14"/>
      <c r="K5" s="14"/>
      <c r="L5" s="14"/>
      <c r="M5" s="14"/>
      <c r="N5" s="14"/>
      <c r="P5" s="5">
        <v>4</v>
      </c>
      <c r="Q5" s="15" t="s">
        <v>162</v>
      </c>
      <c r="R5" s="15" t="s">
        <v>163</v>
      </c>
      <c r="S5" s="15" t="s">
        <v>164</v>
      </c>
      <c r="T5" s="15" t="s">
        <v>165</v>
      </c>
      <c r="U5" s="15" t="s">
        <v>166</v>
      </c>
      <c r="V5" s="16" t="s">
        <v>167</v>
      </c>
      <c r="W5" s="15" t="s">
        <v>168</v>
      </c>
      <c r="X5" s="15" t="s">
        <v>169</v>
      </c>
      <c r="Y5" s="15" t="s">
        <v>170</v>
      </c>
      <c r="Z5" s="15" t="s">
        <v>171</v>
      </c>
    </row>
    <row r="6" spans="1:26" ht="16.5" customHeight="1" x14ac:dyDescent="0.25">
      <c r="A6" s="12">
        <v>5</v>
      </c>
      <c r="B6" s="13">
        <f>Лист1!E6</f>
        <v>1</v>
      </c>
      <c r="C6" s="14">
        <f>IF(B6=1,1,0)</f>
        <v>1</v>
      </c>
      <c r="D6" s="14"/>
      <c r="E6" s="14"/>
      <c r="F6" s="14"/>
      <c r="G6" s="14"/>
      <c r="H6" s="14"/>
      <c r="I6" s="14"/>
      <c r="J6" s="14"/>
      <c r="K6" s="14"/>
      <c r="L6" s="14"/>
      <c r="M6" s="14"/>
      <c r="N6" s="14"/>
      <c r="P6" s="5">
        <v>5</v>
      </c>
      <c r="Q6" s="15" t="s">
        <v>172</v>
      </c>
      <c r="R6" s="15" t="s">
        <v>173</v>
      </c>
      <c r="S6" s="15" t="s">
        <v>174</v>
      </c>
      <c r="T6" s="15" t="s">
        <v>175</v>
      </c>
      <c r="U6" s="15" t="s">
        <v>176</v>
      </c>
      <c r="V6" s="17" t="s">
        <v>177</v>
      </c>
      <c r="W6" s="15" t="s">
        <v>178</v>
      </c>
      <c r="X6" s="15" t="s">
        <v>179</v>
      </c>
      <c r="Y6" s="15" t="s">
        <v>180</v>
      </c>
      <c r="Z6" s="18" t="s">
        <v>181</v>
      </c>
    </row>
    <row r="7" spans="1:26" ht="16.5" customHeight="1" x14ac:dyDescent="0.25">
      <c r="A7" s="12">
        <v>6</v>
      </c>
      <c r="B7" s="13">
        <f>Лист1!E7</f>
        <v>1</v>
      </c>
      <c r="C7" s="14"/>
      <c r="D7" s="14">
        <f>IF(B7=1,0,1)</f>
        <v>0</v>
      </c>
      <c r="E7" s="14"/>
      <c r="F7" s="14"/>
      <c r="G7" s="14"/>
      <c r="H7" s="14"/>
      <c r="I7" s="14"/>
      <c r="J7" s="14"/>
      <c r="K7" s="14"/>
      <c r="L7" s="14"/>
      <c r="M7" s="14"/>
      <c r="N7" s="14"/>
      <c r="V7" s="19"/>
    </row>
    <row r="8" spans="1:26" x14ac:dyDescent="0.25">
      <c r="A8" s="12">
        <v>7</v>
      </c>
      <c r="B8" s="13">
        <f>Лист1!E8</f>
        <v>1</v>
      </c>
      <c r="C8" s="14">
        <f>IF(B8=1,1,0)</f>
        <v>1</v>
      </c>
      <c r="D8" s="14"/>
      <c r="E8" s="14"/>
      <c r="F8" s="14"/>
      <c r="G8" s="14"/>
      <c r="H8" s="14"/>
      <c r="I8" s="14"/>
      <c r="J8" s="14"/>
      <c r="K8" s="14"/>
      <c r="L8" s="14"/>
      <c r="M8" s="14"/>
      <c r="N8" s="14"/>
    </row>
    <row r="9" spans="1:26" x14ac:dyDescent="0.25">
      <c r="A9" s="12">
        <v>8</v>
      </c>
      <c r="B9" s="13">
        <f>Лист1!E9</f>
        <v>1</v>
      </c>
      <c r="C9" s="14"/>
      <c r="D9" s="14">
        <f>IF(B9=1,0,1)</f>
        <v>0</v>
      </c>
      <c r="E9" s="14"/>
      <c r="F9" s="14"/>
      <c r="G9" s="14"/>
      <c r="H9" s="14"/>
      <c r="I9" s="14"/>
      <c r="J9" s="14"/>
      <c r="K9" s="14"/>
      <c r="L9" s="14"/>
      <c r="M9" s="14"/>
      <c r="N9" s="14"/>
    </row>
    <row r="10" spans="1:26" x14ac:dyDescent="0.25">
      <c r="A10" s="12">
        <v>9</v>
      </c>
      <c r="B10" s="13">
        <f>Лист1!E10</f>
        <v>1</v>
      </c>
      <c r="C10" s="14">
        <f>IF(B10=1,1,0)</f>
        <v>1</v>
      </c>
      <c r="D10" s="14"/>
      <c r="E10" s="14"/>
      <c r="F10" s="14"/>
      <c r="G10" s="14"/>
      <c r="H10" s="14"/>
      <c r="I10" s="14"/>
      <c r="J10" s="14"/>
      <c r="K10" s="14"/>
      <c r="L10" s="14"/>
      <c r="M10" s="14"/>
      <c r="N10" s="14"/>
    </row>
    <row r="11" spans="1:26" x14ac:dyDescent="0.25">
      <c r="A11" s="12">
        <v>10</v>
      </c>
      <c r="B11" s="13">
        <f>Лист1!E11</f>
        <v>1</v>
      </c>
      <c r="C11" s="14"/>
      <c r="D11" s="14">
        <f>IF(B11=1,0,1)</f>
        <v>0</v>
      </c>
      <c r="E11" s="14"/>
      <c r="F11" s="14"/>
      <c r="G11" s="14"/>
      <c r="H11" s="14"/>
      <c r="I11" s="14"/>
      <c r="J11" s="14"/>
      <c r="K11" s="14"/>
      <c r="L11" s="14"/>
      <c r="M11" s="14"/>
      <c r="N11" s="14"/>
    </row>
    <row r="12" spans="1:26" x14ac:dyDescent="0.25">
      <c r="A12" s="12">
        <v>11</v>
      </c>
      <c r="B12" s="13">
        <f>Лист1!E12</f>
        <v>1</v>
      </c>
      <c r="C12" s="14"/>
      <c r="D12" s="14"/>
      <c r="E12" s="14"/>
      <c r="F12" s="14"/>
      <c r="G12" s="14"/>
      <c r="H12" s="14"/>
      <c r="I12" s="14"/>
      <c r="J12" s="14"/>
      <c r="K12" s="14"/>
      <c r="L12" s="14"/>
      <c r="M12" s="14"/>
      <c r="N12" s="14">
        <f>IF(B12=1,0,1)</f>
        <v>0</v>
      </c>
    </row>
    <row r="13" spans="1:26" x14ac:dyDescent="0.25">
      <c r="A13" s="12">
        <v>12</v>
      </c>
      <c r="B13" s="13">
        <f>Лист1!E13</f>
        <v>1</v>
      </c>
      <c r="C13" s="14"/>
      <c r="D13" s="14"/>
      <c r="E13" s="14">
        <f>IF(B13,0,1)</f>
        <v>0</v>
      </c>
      <c r="F13" s="14"/>
      <c r="G13" s="14"/>
      <c r="H13" s="14"/>
      <c r="I13" s="14"/>
      <c r="J13" s="14"/>
      <c r="K13" s="14"/>
      <c r="L13" s="14"/>
      <c r="M13" s="14"/>
      <c r="N13" s="14"/>
    </row>
    <row r="14" spans="1:26" x14ac:dyDescent="0.25">
      <c r="A14" s="12">
        <v>13</v>
      </c>
      <c r="B14" s="13">
        <f>Лист1!E14</f>
        <v>1</v>
      </c>
      <c r="C14" s="14"/>
      <c r="D14" s="14"/>
      <c r="E14" s="14"/>
      <c r="F14" s="14">
        <f>IF(B14=1,1,0)</f>
        <v>1</v>
      </c>
      <c r="G14" s="14"/>
      <c r="H14" s="14"/>
      <c r="I14" s="14"/>
      <c r="J14" s="14"/>
      <c r="K14" s="14"/>
      <c r="L14" s="14"/>
      <c r="M14" s="14"/>
      <c r="N14" s="14"/>
    </row>
    <row r="15" spans="1:26" x14ac:dyDescent="0.25">
      <c r="A15" s="12">
        <v>14</v>
      </c>
      <c r="B15" s="13">
        <f>Лист1!E15</f>
        <v>1</v>
      </c>
      <c r="C15" s="14"/>
      <c r="D15" s="14"/>
      <c r="E15" s="14"/>
      <c r="F15" s="14"/>
      <c r="G15" s="14">
        <f>IF(B15=1,0,1)</f>
        <v>0</v>
      </c>
      <c r="H15" s="14"/>
      <c r="I15" s="14"/>
      <c r="J15" s="14"/>
      <c r="K15" s="14"/>
      <c r="L15" s="14"/>
      <c r="M15" s="14"/>
      <c r="N15" s="14"/>
    </row>
    <row r="16" spans="1:26" x14ac:dyDescent="0.25">
      <c r="A16" s="12">
        <v>15</v>
      </c>
      <c r="B16" s="13">
        <f>Лист1!E16</f>
        <v>1</v>
      </c>
      <c r="C16" s="14"/>
      <c r="D16" s="14"/>
      <c r="E16" s="14"/>
      <c r="F16" s="14"/>
      <c r="G16" s="14"/>
      <c r="H16" s="14"/>
      <c r="I16" s="14"/>
      <c r="J16" s="14"/>
      <c r="K16" s="14"/>
      <c r="L16" s="14"/>
      <c r="M16" s="14"/>
      <c r="N16" s="14">
        <f>IF(B16=1,0,1)</f>
        <v>0</v>
      </c>
    </row>
    <row r="17" spans="1:14" x14ac:dyDescent="0.25">
      <c r="A17" s="12">
        <v>16</v>
      </c>
      <c r="B17" s="13">
        <f>Лист1!E17</f>
        <v>1</v>
      </c>
      <c r="C17" s="14"/>
      <c r="D17" s="14"/>
      <c r="E17" s="14">
        <f>IF(B17,0,1)</f>
        <v>0</v>
      </c>
      <c r="F17" s="14"/>
      <c r="G17" s="14"/>
      <c r="H17" s="14"/>
      <c r="I17" s="14"/>
      <c r="J17" s="14"/>
      <c r="K17" s="14"/>
      <c r="L17" s="14"/>
      <c r="M17" s="14"/>
      <c r="N17" s="14"/>
    </row>
    <row r="18" spans="1:14" x14ac:dyDescent="0.25">
      <c r="A18" s="12">
        <v>17</v>
      </c>
      <c r="B18" s="13">
        <f>Лист1!E18</f>
        <v>1</v>
      </c>
      <c r="C18" s="14"/>
      <c r="D18" s="14"/>
      <c r="E18" s="14"/>
      <c r="F18" s="14">
        <f>IF(B18=1,1,0)</f>
        <v>1</v>
      </c>
      <c r="G18" s="14"/>
      <c r="H18" s="14"/>
      <c r="I18" s="14"/>
      <c r="J18" s="14"/>
      <c r="K18" s="14"/>
      <c r="L18" s="14"/>
      <c r="M18" s="14"/>
      <c r="N18" s="14"/>
    </row>
    <row r="19" spans="1:14" x14ac:dyDescent="0.25">
      <c r="A19" s="12">
        <v>18</v>
      </c>
      <c r="B19" s="13">
        <f>Лист1!E19</f>
        <v>1</v>
      </c>
      <c r="C19" s="14"/>
      <c r="D19" s="14"/>
      <c r="E19" s="14"/>
      <c r="F19" s="14"/>
      <c r="G19" s="14">
        <f>IF(B19=1,1,0)</f>
        <v>1</v>
      </c>
      <c r="H19" s="14"/>
      <c r="I19" s="14"/>
      <c r="J19" s="14"/>
      <c r="K19" s="14"/>
      <c r="L19" s="14"/>
      <c r="M19" s="14"/>
      <c r="N19" s="14"/>
    </row>
    <row r="20" spans="1:14" x14ac:dyDescent="0.25">
      <c r="A20" s="12">
        <v>19</v>
      </c>
      <c r="B20" s="13">
        <f>Лист1!E20</f>
        <v>1</v>
      </c>
      <c r="C20" s="14"/>
      <c r="D20" s="14"/>
      <c r="E20" s="14"/>
      <c r="F20" s="14"/>
      <c r="G20" s="14"/>
      <c r="H20" s="14"/>
      <c r="I20" s="14"/>
      <c r="J20" s="14"/>
      <c r="K20" s="14"/>
      <c r="L20" s="14"/>
      <c r="M20" s="14"/>
      <c r="N20" s="14">
        <f>IF(B20=1,0,1)</f>
        <v>0</v>
      </c>
    </row>
    <row r="21" spans="1:14" x14ac:dyDescent="0.25">
      <c r="A21" s="12">
        <v>20</v>
      </c>
      <c r="B21" s="13">
        <f>Лист1!E21</f>
        <v>1</v>
      </c>
      <c r="C21" s="14"/>
      <c r="D21" s="14"/>
      <c r="E21" s="14">
        <f>IF(B21,0,1)</f>
        <v>0</v>
      </c>
      <c r="F21" s="14"/>
      <c r="G21" s="14"/>
      <c r="H21" s="14"/>
      <c r="I21" s="14"/>
      <c r="J21" s="14"/>
      <c r="K21" s="14"/>
      <c r="L21" s="14"/>
      <c r="M21" s="14"/>
      <c r="N21" s="14"/>
    </row>
    <row r="22" spans="1:14" x14ac:dyDescent="0.25">
      <c r="A22" s="12">
        <v>21</v>
      </c>
      <c r="B22" s="13">
        <f>Лист1!E22</f>
        <v>1</v>
      </c>
      <c r="C22" s="14"/>
      <c r="D22" s="14"/>
      <c r="E22" s="14"/>
      <c r="F22" s="14">
        <f>IF(B22=1,0,1)</f>
        <v>0</v>
      </c>
      <c r="G22" s="14"/>
      <c r="H22" s="14"/>
      <c r="I22" s="14"/>
      <c r="J22" s="14"/>
      <c r="K22" s="14"/>
      <c r="L22" s="14"/>
      <c r="M22" s="14"/>
      <c r="N22" s="14"/>
    </row>
    <row r="23" spans="1:14" x14ac:dyDescent="0.25">
      <c r="A23" s="12">
        <v>22</v>
      </c>
      <c r="B23" s="13">
        <f>Лист1!E23</f>
        <v>1</v>
      </c>
      <c r="C23" s="14"/>
      <c r="D23" s="14"/>
      <c r="E23" s="14"/>
      <c r="F23" s="14"/>
      <c r="G23" s="14">
        <f>IF(B23=1,0,1)</f>
        <v>0</v>
      </c>
      <c r="H23" s="14"/>
      <c r="I23" s="14"/>
      <c r="J23" s="14"/>
      <c r="K23" s="14"/>
      <c r="L23" s="14"/>
      <c r="M23" s="14"/>
      <c r="N23" s="14"/>
    </row>
    <row r="24" spans="1:14" x14ac:dyDescent="0.25">
      <c r="A24" s="12">
        <v>23</v>
      </c>
      <c r="B24" s="13">
        <f>Лист1!E24</f>
        <v>1</v>
      </c>
      <c r="C24" s="14"/>
      <c r="D24" s="14"/>
      <c r="E24" s="14"/>
      <c r="F24" s="14"/>
      <c r="G24" s="14"/>
      <c r="H24" s="14"/>
      <c r="I24" s="14"/>
      <c r="J24" s="14"/>
      <c r="K24" s="14"/>
      <c r="L24" s="14"/>
      <c r="M24" s="14"/>
      <c r="N24" s="14">
        <f>IF(B24=1,0,1)</f>
        <v>0</v>
      </c>
    </row>
    <row r="25" spans="1:14" x14ac:dyDescent="0.25">
      <c r="A25" s="12">
        <v>24</v>
      </c>
      <c r="B25" s="13">
        <f>Лист1!E25</f>
        <v>1</v>
      </c>
      <c r="C25" s="14"/>
      <c r="D25" s="14"/>
      <c r="E25" s="14">
        <f>IF(B25,1,0)</f>
        <v>1</v>
      </c>
      <c r="F25" s="14"/>
      <c r="G25" s="14"/>
      <c r="H25" s="14"/>
      <c r="I25" s="14"/>
      <c r="J25" s="14"/>
      <c r="K25" s="14"/>
      <c r="L25" s="14"/>
      <c r="M25" s="14"/>
      <c r="N25" s="14"/>
    </row>
    <row r="26" spans="1:14" x14ac:dyDescent="0.25">
      <c r="A26" s="12">
        <v>25</v>
      </c>
      <c r="B26" s="13">
        <f>Лист1!E26</f>
        <v>1</v>
      </c>
      <c r="C26" s="14"/>
      <c r="D26" s="14"/>
      <c r="E26" s="14"/>
      <c r="F26" s="14">
        <f>IF(B26=1,0,1)</f>
        <v>0</v>
      </c>
      <c r="G26" s="14"/>
      <c r="H26" s="14"/>
      <c r="I26" s="14"/>
      <c r="J26" s="14"/>
      <c r="K26" s="14"/>
      <c r="L26" s="14"/>
      <c r="M26" s="14"/>
      <c r="N26" s="14"/>
    </row>
    <row r="27" spans="1:14" x14ac:dyDescent="0.25">
      <c r="A27" s="12">
        <v>26</v>
      </c>
      <c r="B27" s="13">
        <f>Лист1!E27</f>
        <v>1</v>
      </c>
      <c r="C27" s="14"/>
      <c r="D27" s="14"/>
      <c r="E27" s="14"/>
      <c r="F27" s="14"/>
      <c r="G27" s="14">
        <f>IF(B27=1,0,1)</f>
        <v>0</v>
      </c>
      <c r="H27" s="14"/>
      <c r="I27" s="14"/>
      <c r="J27" s="14"/>
      <c r="K27" s="14"/>
      <c r="L27" s="14"/>
      <c r="M27" s="14"/>
      <c r="N27" s="14"/>
    </row>
    <row r="28" spans="1:14" x14ac:dyDescent="0.25">
      <c r="A28" s="12">
        <v>27</v>
      </c>
      <c r="B28" s="13">
        <f>Лист1!E28</f>
        <v>1</v>
      </c>
      <c r="C28" s="14"/>
      <c r="D28" s="14"/>
      <c r="E28" s="14"/>
      <c r="F28" s="14"/>
      <c r="G28" s="14"/>
      <c r="H28" s="14"/>
      <c r="I28" s="14"/>
      <c r="J28" s="14"/>
      <c r="K28" s="14"/>
      <c r="L28" s="14"/>
      <c r="M28" s="14"/>
      <c r="N28" s="14">
        <f>IF(B28,1,0)</f>
        <v>1</v>
      </c>
    </row>
    <row r="29" spans="1:14" x14ac:dyDescent="0.25">
      <c r="A29" s="12">
        <v>28</v>
      </c>
      <c r="B29" s="13">
        <f>Лист1!E29</f>
        <v>1</v>
      </c>
      <c r="C29" s="14"/>
      <c r="D29" s="14"/>
      <c r="E29" s="14">
        <f>IF(B29=1,1,0)</f>
        <v>1</v>
      </c>
      <c r="G29" s="14"/>
      <c r="H29" s="14"/>
      <c r="I29" s="14"/>
      <c r="J29" s="14"/>
      <c r="K29" s="14"/>
      <c r="L29" s="14"/>
      <c r="M29" s="14"/>
      <c r="N29" s="14"/>
    </row>
    <row r="30" spans="1:14" x14ac:dyDescent="0.25">
      <c r="A30" s="12">
        <v>29</v>
      </c>
      <c r="B30" s="13">
        <f>Лист1!E30</f>
        <v>1</v>
      </c>
      <c r="C30" s="14"/>
      <c r="D30" s="14"/>
      <c r="E30" s="14"/>
      <c r="F30" s="14">
        <f>IF(B30=1,1,0)</f>
        <v>1</v>
      </c>
      <c r="G30" s="14"/>
      <c r="H30" s="14"/>
      <c r="I30" s="14"/>
      <c r="J30" s="14"/>
      <c r="K30" s="14"/>
      <c r="L30" s="14"/>
      <c r="M30" s="14"/>
      <c r="N30" s="14"/>
    </row>
    <row r="31" spans="1:14" x14ac:dyDescent="0.25">
      <c r="A31" s="12">
        <v>30</v>
      </c>
      <c r="B31" s="13">
        <f>Лист1!E31</f>
        <v>1</v>
      </c>
      <c r="C31" s="14"/>
      <c r="D31" s="14"/>
      <c r="E31" s="14"/>
      <c r="F31" s="14"/>
      <c r="G31" s="14">
        <f>IF(B31=1,1,0)</f>
        <v>1</v>
      </c>
      <c r="H31" s="14"/>
      <c r="I31" s="14"/>
      <c r="J31" s="14"/>
      <c r="K31" s="14"/>
      <c r="L31" s="14"/>
      <c r="M31" s="14"/>
      <c r="N31" s="14"/>
    </row>
    <row r="32" spans="1:14" x14ac:dyDescent="0.25">
      <c r="A32" s="12">
        <v>31</v>
      </c>
      <c r="B32" s="13">
        <f>Лист1!E32</f>
        <v>1</v>
      </c>
      <c r="C32" s="14"/>
      <c r="D32" s="14"/>
      <c r="E32" s="14"/>
      <c r="F32" s="14"/>
      <c r="G32" s="14"/>
      <c r="H32" s="14">
        <f>IF(B32=1,1,0)</f>
        <v>1</v>
      </c>
      <c r="I32" s="14"/>
      <c r="J32" s="14"/>
      <c r="K32" s="14"/>
      <c r="L32" s="14"/>
      <c r="M32" s="14"/>
      <c r="N32" s="14"/>
    </row>
    <row r="33" spans="1:14" x14ac:dyDescent="0.25">
      <c r="A33" s="12">
        <v>32</v>
      </c>
      <c r="B33" s="13">
        <f>Лист1!E33</f>
        <v>1</v>
      </c>
      <c r="C33" s="14"/>
      <c r="D33" s="14"/>
      <c r="E33" s="14"/>
      <c r="F33" s="14"/>
      <c r="G33" s="14"/>
      <c r="H33" s="14"/>
      <c r="I33" s="14">
        <f>IF(B33=1,1,0)</f>
        <v>1</v>
      </c>
      <c r="J33" s="14"/>
      <c r="K33" s="14"/>
      <c r="L33" s="14"/>
      <c r="M33" s="14"/>
      <c r="N33" s="14"/>
    </row>
    <row r="34" spans="1:14" x14ac:dyDescent="0.25">
      <c r="A34" s="12">
        <v>33</v>
      </c>
      <c r="B34" s="13">
        <f>Лист1!E34</f>
        <v>1</v>
      </c>
      <c r="C34" s="14"/>
      <c r="D34" s="14"/>
      <c r="E34" s="14"/>
      <c r="F34" s="14"/>
      <c r="G34" s="14"/>
      <c r="H34" s="14"/>
      <c r="I34" s="14"/>
      <c r="J34" s="14">
        <f>IF(B34=1,0,1)</f>
        <v>0</v>
      </c>
      <c r="K34" s="14"/>
      <c r="L34" s="14"/>
      <c r="M34" s="14"/>
      <c r="N34" s="14"/>
    </row>
    <row r="35" spans="1:14" x14ac:dyDescent="0.25">
      <c r="A35" s="12">
        <v>34</v>
      </c>
      <c r="B35" s="13">
        <f>Лист1!E35</f>
        <v>1</v>
      </c>
      <c r="C35" s="14"/>
      <c r="D35" s="14"/>
      <c r="E35" s="14"/>
      <c r="F35" s="14"/>
      <c r="G35" s="14"/>
      <c r="H35" s="14"/>
      <c r="I35" s="14"/>
      <c r="J35" s="14"/>
      <c r="K35" s="14">
        <f>IF(B35=1,1,0)</f>
        <v>1</v>
      </c>
      <c r="L35" s="14"/>
      <c r="M35" s="14"/>
      <c r="N35" s="14"/>
    </row>
    <row r="36" spans="1:14" x14ac:dyDescent="0.25">
      <c r="A36" s="12">
        <v>35</v>
      </c>
      <c r="B36" s="13">
        <f>Лист1!E36</f>
        <v>1</v>
      </c>
      <c r="C36" s="14"/>
      <c r="D36" s="14"/>
      <c r="E36" s="14"/>
      <c r="F36" s="14"/>
      <c r="G36" s="14"/>
      <c r="H36" s="14">
        <f>IF(B36=1,1,0)</f>
        <v>1</v>
      </c>
      <c r="I36" s="14"/>
      <c r="J36" s="14"/>
      <c r="K36" s="14"/>
      <c r="L36" s="14"/>
      <c r="M36" s="14"/>
      <c r="N36" s="14"/>
    </row>
    <row r="37" spans="1:14" x14ac:dyDescent="0.25">
      <c r="A37" s="12">
        <v>36</v>
      </c>
      <c r="B37" s="13">
        <f>Лист1!E37</f>
        <v>1</v>
      </c>
      <c r="C37" s="14"/>
      <c r="D37" s="14"/>
      <c r="E37" s="14"/>
      <c r="F37" s="14"/>
      <c r="G37" s="14"/>
      <c r="H37" s="14"/>
      <c r="I37" s="14">
        <f>IF(B37=1,1,0)</f>
        <v>1</v>
      </c>
      <c r="J37" s="14"/>
      <c r="K37" s="14"/>
      <c r="L37" s="14"/>
      <c r="M37" s="14"/>
      <c r="N37" s="14"/>
    </row>
    <row r="38" spans="1:14" x14ac:dyDescent="0.25">
      <c r="A38" s="12">
        <v>37</v>
      </c>
      <c r="B38" s="13">
        <f>Лист1!E38</f>
        <v>1</v>
      </c>
      <c r="C38" s="14"/>
      <c r="D38" s="14"/>
      <c r="E38" s="14"/>
      <c r="F38" s="14"/>
      <c r="G38" s="14"/>
      <c r="H38" s="14"/>
      <c r="I38" s="14"/>
      <c r="J38" s="14">
        <f>IF(B38=1,1,0)</f>
        <v>1</v>
      </c>
      <c r="L38" s="14"/>
      <c r="M38" s="14"/>
      <c r="N38" s="14"/>
    </row>
    <row r="39" spans="1:14" x14ac:dyDescent="0.25">
      <c r="A39" s="12">
        <v>38</v>
      </c>
      <c r="B39" s="13">
        <f>Лист1!E39</f>
        <v>1</v>
      </c>
      <c r="C39" s="14"/>
      <c r="D39" s="14"/>
      <c r="E39" s="14"/>
      <c r="F39" s="14"/>
      <c r="G39" s="14"/>
      <c r="H39" s="14"/>
      <c r="I39" s="14"/>
      <c r="J39" s="14"/>
      <c r="K39" s="14">
        <f>IF(B39=1,1,0)</f>
        <v>1</v>
      </c>
      <c r="L39" s="14"/>
      <c r="M39" s="14"/>
      <c r="N39" s="14"/>
    </row>
    <row r="40" spans="1:14" x14ac:dyDescent="0.25">
      <c r="A40" s="12">
        <v>39</v>
      </c>
      <c r="B40" s="13">
        <f>Лист1!E40</f>
        <v>1</v>
      </c>
      <c r="C40" s="14"/>
      <c r="D40" s="14"/>
      <c r="E40" s="14"/>
      <c r="F40" s="14"/>
      <c r="G40" s="14"/>
      <c r="H40" s="14">
        <f>IF(B40=1,1,0)</f>
        <v>1</v>
      </c>
      <c r="I40" s="14"/>
      <c r="J40" s="14"/>
      <c r="K40" s="14"/>
      <c r="L40" s="14"/>
      <c r="M40" s="14"/>
      <c r="N40" s="14"/>
    </row>
    <row r="41" spans="1:14" x14ac:dyDescent="0.25">
      <c r="A41" s="12">
        <v>40</v>
      </c>
      <c r="B41" s="13">
        <f>Лист1!E41</f>
        <v>1</v>
      </c>
      <c r="C41" s="14"/>
      <c r="D41" s="14"/>
      <c r="E41" s="14"/>
      <c r="F41" s="14"/>
      <c r="G41" s="14"/>
      <c r="H41" s="14"/>
      <c r="I41" s="14">
        <f>IF(B41=1,0,1)</f>
        <v>0</v>
      </c>
      <c r="J41" s="14"/>
      <c r="K41" s="14"/>
      <c r="L41" s="14"/>
      <c r="M41" s="14"/>
      <c r="N41" s="14"/>
    </row>
    <row r="42" spans="1:14" x14ac:dyDescent="0.25">
      <c r="A42" s="12">
        <v>41</v>
      </c>
      <c r="B42" s="13">
        <f>Лист1!E42</f>
        <v>1</v>
      </c>
      <c r="C42" s="14"/>
      <c r="D42" s="14"/>
      <c r="E42" s="14"/>
      <c r="F42" s="14"/>
      <c r="G42" s="14"/>
      <c r="H42" s="14"/>
      <c r="I42" s="14"/>
      <c r="J42" s="14">
        <f>IF(B42=1,1,0)</f>
        <v>1</v>
      </c>
      <c r="K42" s="14"/>
      <c r="L42" s="14"/>
      <c r="M42" s="14"/>
      <c r="N42" s="14"/>
    </row>
    <row r="43" spans="1:14" x14ac:dyDescent="0.25">
      <c r="A43" s="12">
        <v>42</v>
      </c>
      <c r="B43" s="13">
        <f>Лист1!E43</f>
        <v>1</v>
      </c>
      <c r="C43" s="14"/>
      <c r="D43" s="14"/>
      <c r="E43" s="14"/>
      <c r="F43" s="14"/>
      <c r="G43" s="14"/>
      <c r="H43" s="14"/>
      <c r="I43" s="14"/>
      <c r="J43" s="14"/>
      <c r="K43" s="14">
        <f>IF(B43=1,1,0)</f>
        <v>1</v>
      </c>
      <c r="L43" s="14"/>
      <c r="M43" s="14"/>
      <c r="N43" s="14"/>
    </row>
    <row r="44" spans="1:14" x14ac:dyDescent="0.25">
      <c r="A44" s="12">
        <v>43</v>
      </c>
      <c r="B44" s="13">
        <f>Лист1!E44</f>
        <v>1</v>
      </c>
      <c r="C44" s="14"/>
      <c r="D44" s="14"/>
      <c r="E44" s="14"/>
      <c r="F44" s="14"/>
      <c r="G44" s="14"/>
      <c r="H44" s="14">
        <f>IF(B44=1,0,1)</f>
        <v>0</v>
      </c>
      <c r="I44" s="14"/>
      <c r="J44" s="14"/>
      <c r="K44" s="14"/>
      <c r="L44" s="14"/>
      <c r="M44" s="14"/>
      <c r="N44" s="14"/>
    </row>
    <row r="45" spans="1:14" x14ac:dyDescent="0.25">
      <c r="A45" s="12">
        <v>44</v>
      </c>
      <c r="B45" s="13">
        <f>Лист1!E45</f>
        <v>1</v>
      </c>
      <c r="C45" s="14"/>
      <c r="D45" s="14"/>
      <c r="E45" s="14"/>
      <c r="F45" s="14"/>
      <c r="G45" s="14"/>
      <c r="H45" s="14"/>
      <c r="I45" s="14">
        <f>IF(B45=1,1,0)</f>
        <v>1</v>
      </c>
      <c r="J45" s="14"/>
      <c r="K45" s="14"/>
      <c r="L45" s="14"/>
      <c r="M45" s="14"/>
      <c r="N45" s="14"/>
    </row>
    <row r="46" spans="1:14" x14ac:dyDescent="0.25">
      <c r="A46" s="12">
        <v>45</v>
      </c>
      <c r="B46" s="13">
        <f>Лист1!E46</f>
        <v>1</v>
      </c>
      <c r="C46" s="14"/>
      <c r="D46" s="14"/>
      <c r="E46" s="14"/>
      <c r="F46" s="14"/>
      <c r="G46" s="14"/>
      <c r="H46" s="14"/>
      <c r="I46" s="14"/>
      <c r="J46" s="14"/>
      <c r="K46" s="14"/>
      <c r="L46" s="14"/>
      <c r="M46" s="14"/>
      <c r="N46" s="14"/>
    </row>
    <row r="47" spans="1:14" x14ac:dyDescent="0.25">
      <c r="A47" s="12">
        <v>46</v>
      </c>
      <c r="B47" s="13">
        <f>Лист1!E47</f>
        <v>1</v>
      </c>
      <c r="C47" s="14"/>
      <c r="D47" s="14"/>
      <c r="E47" s="14"/>
      <c r="F47" s="14"/>
      <c r="G47" s="14"/>
      <c r="H47" s="14"/>
      <c r="I47" s="14"/>
      <c r="J47" s="14"/>
      <c r="K47" s="14">
        <f>IF(B47=1,1,0)</f>
        <v>1</v>
      </c>
      <c r="L47" s="14"/>
      <c r="M47" s="14"/>
      <c r="N47" s="14"/>
    </row>
    <row r="48" spans="1:14" x14ac:dyDescent="0.25">
      <c r="A48" s="12">
        <v>47</v>
      </c>
      <c r="B48" s="13">
        <f>Лист1!E48</f>
        <v>1</v>
      </c>
      <c r="C48" s="14"/>
      <c r="D48" s="14"/>
      <c r="E48" s="14"/>
      <c r="F48" s="14"/>
      <c r="G48" s="14">
        <f>IF(B48=1,0,1)</f>
        <v>0</v>
      </c>
      <c r="H48" s="14"/>
      <c r="I48" s="14"/>
      <c r="J48" s="14"/>
      <c r="K48" s="14"/>
      <c r="L48" s="14"/>
      <c r="M48" s="14"/>
      <c r="N48" s="14"/>
    </row>
    <row r="49" spans="1:29" x14ac:dyDescent="0.25">
      <c r="A49" s="12">
        <v>48</v>
      </c>
      <c r="B49" s="13">
        <f>Лист1!E49</f>
        <v>1</v>
      </c>
      <c r="C49" s="14"/>
      <c r="D49" s="14"/>
      <c r="E49" s="14"/>
      <c r="F49" s="14"/>
      <c r="G49" s="14"/>
      <c r="H49" s="14"/>
      <c r="I49" s="14">
        <f>IF(B49=1,0,1)</f>
        <v>0</v>
      </c>
      <c r="J49" s="14"/>
      <c r="K49" s="14"/>
      <c r="L49" s="14"/>
      <c r="M49" s="14"/>
      <c r="N49" s="14"/>
    </row>
    <row r="50" spans="1:29" x14ac:dyDescent="0.25">
      <c r="A50" s="12">
        <v>49</v>
      </c>
      <c r="B50" s="13">
        <f>Лист1!E50</f>
        <v>1</v>
      </c>
      <c r="C50" s="14"/>
      <c r="D50" s="14"/>
      <c r="E50" s="14"/>
      <c r="F50" s="14"/>
      <c r="G50" s="14"/>
      <c r="H50" s="14"/>
      <c r="I50" s="14"/>
      <c r="J50" s="14">
        <f>IF(B50=1,1,0)</f>
        <v>1</v>
      </c>
      <c r="K50" s="14"/>
      <c r="L50" s="14"/>
      <c r="M50" s="14"/>
      <c r="N50" s="14"/>
    </row>
    <row r="51" spans="1:29" x14ac:dyDescent="0.25">
      <c r="A51" s="12">
        <v>50</v>
      </c>
      <c r="B51" s="13">
        <f>Лист1!E51</f>
        <v>1</v>
      </c>
      <c r="C51" s="14"/>
      <c r="D51" s="14"/>
      <c r="E51" s="14"/>
      <c r="F51" s="14"/>
      <c r="G51" s="14"/>
      <c r="H51" s="14"/>
      <c r="I51" s="14"/>
      <c r="J51" s="14"/>
      <c r="K51" s="14">
        <f>IF(B51=1,1,0)</f>
        <v>1</v>
      </c>
      <c r="L51" s="14"/>
      <c r="M51" s="14"/>
      <c r="N51" s="14"/>
    </row>
    <row r="52" spans="1:29" x14ac:dyDescent="0.25">
      <c r="A52" s="12">
        <v>51</v>
      </c>
      <c r="B52" s="13">
        <f>Лист1!E52</f>
        <v>1</v>
      </c>
      <c r="C52" s="14"/>
      <c r="D52" s="14"/>
      <c r="E52" s="14"/>
      <c r="F52" s="14"/>
      <c r="G52" s="14"/>
      <c r="H52" s="14"/>
      <c r="I52" s="14"/>
      <c r="J52" s="14"/>
      <c r="K52" s="14"/>
      <c r="L52" s="14">
        <f>IF(B52=1,0,1)</f>
        <v>0</v>
      </c>
      <c r="M52" s="14"/>
      <c r="N52" s="14"/>
    </row>
    <row r="53" spans="1:29" x14ac:dyDescent="0.25">
      <c r="A53" s="12">
        <v>52</v>
      </c>
      <c r="B53" s="13">
        <f>Лист1!E53</f>
        <v>1</v>
      </c>
      <c r="C53" s="14"/>
      <c r="D53" s="14"/>
      <c r="E53" s="14"/>
      <c r="F53" s="14"/>
      <c r="G53" s="14"/>
      <c r="H53" s="14"/>
      <c r="I53" s="14"/>
      <c r="J53" s="14"/>
      <c r="K53" s="14"/>
      <c r="L53" s="14">
        <f>IF(B53=1,1,0)</f>
        <v>1</v>
      </c>
      <c r="M53" s="14"/>
      <c r="N53" s="14"/>
    </row>
    <row r="54" spans="1:29" x14ac:dyDescent="0.25">
      <c r="A54" s="12">
        <v>53</v>
      </c>
      <c r="B54" s="13">
        <f>Лист1!E54</f>
        <v>1</v>
      </c>
      <c r="C54" s="14"/>
      <c r="D54" s="14"/>
      <c r="E54" s="14"/>
      <c r="F54" s="14"/>
      <c r="G54" s="14"/>
      <c r="H54" s="14"/>
      <c r="I54" s="14"/>
      <c r="J54" s="14"/>
      <c r="K54" s="14"/>
      <c r="L54" s="14"/>
      <c r="M54" s="14">
        <f>IF(B54=1,0,1)</f>
        <v>0</v>
      </c>
      <c r="N54" s="14"/>
    </row>
    <row r="55" spans="1:29" x14ac:dyDescent="0.25">
      <c r="A55" s="12">
        <v>54</v>
      </c>
      <c r="B55" s="13">
        <f>Лист1!E55</f>
        <v>1</v>
      </c>
      <c r="C55" s="14"/>
      <c r="D55" s="14"/>
      <c r="E55" s="14"/>
      <c r="F55" s="14"/>
      <c r="G55" s="14"/>
      <c r="H55" s="14"/>
      <c r="I55" s="14"/>
      <c r="J55" s="14"/>
      <c r="K55" s="14"/>
      <c r="L55" s="14"/>
      <c r="M55" s="14">
        <f>IF(B55=1,1,0)</f>
        <v>1</v>
      </c>
      <c r="N55" s="14"/>
    </row>
    <row r="56" spans="1:29" x14ac:dyDescent="0.25">
      <c r="A56" s="12">
        <v>55</v>
      </c>
      <c r="B56" s="13">
        <f>Лист1!E56</f>
        <v>1</v>
      </c>
      <c r="C56" s="14"/>
      <c r="D56" s="14"/>
      <c r="E56" s="14"/>
      <c r="F56" s="14"/>
      <c r="G56" s="14"/>
      <c r="H56" s="14"/>
      <c r="I56" s="14"/>
      <c r="J56" s="14"/>
      <c r="K56" s="14"/>
      <c r="L56" s="14">
        <f>IF(B56=1,1,0)</f>
        <v>1</v>
      </c>
      <c r="M56" s="14"/>
      <c r="N56" s="14"/>
      <c r="P56" s="5" t="s">
        <v>182</v>
      </c>
    </row>
    <row r="57" spans="1:29" x14ac:dyDescent="0.25">
      <c r="A57" s="12">
        <v>56</v>
      </c>
      <c r="B57" s="13">
        <f>Лист1!E57</f>
        <v>1</v>
      </c>
      <c r="C57" s="14"/>
      <c r="D57" s="14"/>
      <c r="E57" s="14"/>
      <c r="F57" s="14"/>
      <c r="G57" s="14"/>
      <c r="H57" s="14"/>
      <c r="I57" s="14"/>
      <c r="J57" s="14"/>
      <c r="K57" s="14"/>
      <c r="L57" s="14"/>
      <c r="M57" s="14">
        <f>IF(B57=1,0,1)</f>
        <v>0</v>
      </c>
      <c r="N57" s="14"/>
      <c r="P57" s="20" t="s">
        <v>138</v>
      </c>
      <c r="Q57" s="21">
        <f>E62</f>
        <v>2</v>
      </c>
      <c r="R57" s="21">
        <f>I62</f>
        <v>3</v>
      </c>
      <c r="S57" s="22">
        <f>M62</f>
        <v>2</v>
      </c>
      <c r="U57" s="20" t="s">
        <v>139</v>
      </c>
      <c r="V57" s="21">
        <f>K62</f>
        <v>5</v>
      </c>
      <c r="W57" s="21">
        <f>I62</f>
        <v>3</v>
      </c>
      <c r="X57" s="22">
        <f>G62</f>
        <v>2</v>
      </c>
      <c r="Z57" s="20" t="s">
        <v>140</v>
      </c>
      <c r="AA57" s="21">
        <f>I62</f>
        <v>3</v>
      </c>
      <c r="AB57" s="21">
        <f>G62</f>
        <v>2</v>
      </c>
      <c r="AC57" s="22"/>
    </row>
    <row r="58" spans="1:29" x14ac:dyDescent="0.25">
      <c r="A58" s="12">
        <v>57</v>
      </c>
      <c r="B58" s="13">
        <f>Лист1!E58</f>
        <v>1</v>
      </c>
      <c r="C58" s="14"/>
      <c r="D58" s="14"/>
      <c r="E58" s="14"/>
      <c r="F58" s="14"/>
      <c r="G58" s="14"/>
      <c r="H58" s="14"/>
      <c r="I58" s="14"/>
      <c r="J58" s="14"/>
      <c r="K58" s="14"/>
      <c r="L58" s="14">
        <f>IF(B58=1,1,0)</f>
        <v>1</v>
      </c>
      <c r="M58" s="14"/>
      <c r="N58" s="14"/>
      <c r="P58" s="23">
        <f>Q57-R57</f>
        <v>-1</v>
      </c>
      <c r="Q58" s="24">
        <f>Q57-S57</f>
        <v>0</v>
      </c>
      <c r="R58" s="24"/>
      <c r="S58" s="25"/>
      <c r="U58" s="23">
        <f>V57-W57</f>
        <v>2</v>
      </c>
      <c r="V58" s="24">
        <f>V57-X57</f>
        <v>3</v>
      </c>
      <c r="W58" s="24"/>
      <c r="X58" s="25"/>
      <c r="Z58" s="23">
        <f>AA57-AB57</f>
        <v>1</v>
      </c>
      <c r="AA58" s="24"/>
      <c r="AB58" s="24"/>
      <c r="AC58" s="25"/>
    </row>
    <row r="59" spans="1:29" x14ac:dyDescent="0.25">
      <c r="A59" s="12">
        <v>58</v>
      </c>
      <c r="B59" s="13">
        <f>Лист1!E59</f>
        <v>1</v>
      </c>
      <c r="C59" s="14"/>
      <c r="D59" s="14"/>
      <c r="E59" s="14"/>
      <c r="F59" s="14"/>
      <c r="G59" s="14"/>
      <c r="H59" s="14"/>
      <c r="I59" s="14"/>
      <c r="J59" s="14"/>
      <c r="K59" s="14"/>
      <c r="L59" s="14"/>
      <c r="M59" s="14">
        <f>IF(B59=1,1,0)</f>
        <v>1</v>
      </c>
      <c r="N59" s="14"/>
      <c r="P59" s="23" t="s">
        <v>183</v>
      </c>
      <c r="Q59" s="24">
        <f>IF(OR(P58=-3,Q58=-3),1,0)</f>
        <v>0</v>
      </c>
      <c r="R59" s="24"/>
      <c r="S59" s="25"/>
      <c r="U59" s="23" t="s">
        <v>183</v>
      </c>
      <c r="V59" s="24">
        <f>IF(OR(U58=-3,V58=-3),1,0)</f>
        <v>0</v>
      </c>
      <c r="W59" s="24"/>
      <c r="X59" s="25"/>
      <c r="Z59" s="23" t="s">
        <v>183</v>
      </c>
      <c r="AA59" s="24">
        <f>IF(Z58=-3,1,0)</f>
        <v>0</v>
      </c>
      <c r="AB59" s="24"/>
      <c r="AC59" s="25"/>
    </row>
    <row r="60" spans="1:29" x14ac:dyDescent="0.25">
      <c r="A60" s="12">
        <v>59</v>
      </c>
      <c r="B60" s="13">
        <f>Лист1!E60</f>
        <v>1</v>
      </c>
      <c r="C60" s="14"/>
      <c r="D60" s="14"/>
      <c r="E60" s="14"/>
      <c r="F60" s="14"/>
      <c r="G60" s="14"/>
      <c r="H60" s="14"/>
      <c r="I60" s="14"/>
      <c r="J60" s="14"/>
      <c r="K60" s="14"/>
      <c r="L60" s="14">
        <f>IF(B60=1,1,0)</f>
        <v>1</v>
      </c>
      <c r="M60" s="14"/>
      <c r="N60" s="14"/>
      <c r="P60" s="26" t="s">
        <v>184</v>
      </c>
      <c r="Q60" s="27">
        <f>IF(OR(P58=3,Q58=3),1,0)</f>
        <v>0</v>
      </c>
      <c r="R60" s="27"/>
      <c r="S60" s="28">
        <f>IF(Q59=1,Q57+1,IF(Q60=1,Q57-1,Q57))</f>
        <v>2</v>
      </c>
      <c r="U60" s="26" t="s">
        <v>184</v>
      </c>
      <c r="V60" s="27">
        <f>IF(OR(U58=3,V58=3),1,0)</f>
        <v>1</v>
      </c>
      <c r="W60" s="27"/>
      <c r="X60" s="28">
        <f>IF(V59=1,V57+1,IF(V60=1,V57-1,V57))</f>
        <v>4</v>
      </c>
      <c r="Z60" s="26" t="s">
        <v>184</v>
      </c>
      <c r="AA60" s="27">
        <f>IF(Z58=3,1,0)</f>
        <v>0</v>
      </c>
      <c r="AB60" s="27"/>
      <c r="AC60" s="28">
        <f>IF(AA59=1,AA57+1,IF(AA60=1,AA57-1,AA57))</f>
        <v>3</v>
      </c>
    </row>
    <row r="61" spans="1:29" x14ac:dyDescent="0.25">
      <c r="A61" s="12">
        <v>60</v>
      </c>
      <c r="B61" s="13">
        <f>Лист1!E61</f>
        <v>1</v>
      </c>
      <c r="C61" s="14"/>
      <c r="D61" s="14"/>
      <c r="E61" s="14"/>
      <c r="F61" s="14"/>
      <c r="G61" s="14"/>
      <c r="H61" s="14"/>
      <c r="I61" s="14"/>
      <c r="J61" s="14"/>
      <c r="K61" s="14"/>
      <c r="L61" s="14"/>
      <c r="M61" s="14">
        <f>IF(B61=1,0,1)</f>
        <v>0</v>
      </c>
      <c r="N61" s="14"/>
    </row>
    <row r="62" spans="1:29" x14ac:dyDescent="0.25">
      <c r="C62" s="5">
        <f>SUM(C2:C61)</f>
        <v>4</v>
      </c>
      <c r="D62" s="5">
        <f t="shared" ref="D62:N62" si="0">SUM(D2:D61)</f>
        <v>0</v>
      </c>
      <c r="E62" s="5">
        <f t="shared" si="0"/>
        <v>2</v>
      </c>
      <c r="F62" s="5">
        <f t="shared" si="0"/>
        <v>3</v>
      </c>
      <c r="G62" s="5">
        <f t="shared" si="0"/>
        <v>2</v>
      </c>
      <c r="H62" s="5">
        <f t="shared" si="0"/>
        <v>3</v>
      </c>
      <c r="I62" s="5">
        <f t="shared" si="0"/>
        <v>3</v>
      </c>
      <c r="J62" s="5">
        <f t="shared" si="0"/>
        <v>3</v>
      </c>
      <c r="K62" s="5">
        <f t="shared" si="0"/>
        <v>5</v>
      </c>
      <c r="L62" s="5">
        <f t="shared" si="0"/>
        <v>4</v>
      </c>
      <c r="M62" s="5">
        <f t="shared" si="0"/>
        <v>2</v>
      </c>
      <c r="N62" s="5">
        <f t="shared" si="0"/>
        <v>1</v>
      </c>
    </row>
    <row r="63" spans="1:29" x14ac:dyDescent="0.25">
      <c r="C63" s="11" t="s">
        <v>125</v>
      </c>
      <c r="D63" s="11" t="s">
        <v>126</v>
      </c>
      <c r="E63" s="11" t="s">
        <v>127</v>
      </c>
      <c r="F63" s="11" t="s">
        <v>128</v>
      </c>
      <c r="G63" s="11" t="s">
        <v>129</v>
      </c>
      <c r="H63" s="11" t="s">
        <v>130</v>
      </c>
      <c r="I63" s="11" t="s">
        <v>131</v>
      </c>
      <c r="J63" s="11" t="s">
        <v>132</v>
      </c>
      <c r="K63" s="11" t="s">
        <v>133</v>
      </c>
      <c r="L63" s="11" t="s">
        <v>134</v>
      </c>
      <c r="M63" s="11" t="s">
        <v>135</v>
      </c>
      <c r="N63" s="11" t="s">
        <v>136</v>
      </c>
    </row>
    <row r="65" spans="1:4" x14ac:dyDescent="0.25">
      <c r="A65" s="11" t="s">
        <v>185</v>
      </c>
      <c r="C65" s="11" t="s">
        <v>186</v>
      </c>
    </row>
    <row r="66" spans="1:4" ht="15.75" x14ac:dyDescent="0.25">
      <c r="A66" s="36" t="s">
        <v>195</v>
      </c>
      <c r="B66" s="34">
        <v>39</v>
      </c>
      <c r="C66" s="5">
        <f>C62</f>
        <v>4</v>
      </c>
      <c r="D66" s="5" t="str">
        <f>IF(C66&gt;4,Y6,IF(C66=4,Y5,IF(C66=3,Y4,IF(C66&lt;3,Y3))))</f>
        <v>Ребенок нуждается в общении. Плохо переносит одиночество. Глубоко переживает ссоры с друзьями.</v>
      </c>
    </row>
    <row r="67" spans="1:4" x14ac:dyDescent="0.25">
      <c r="A67" s="29" t="s">
        <v>193</v>
      </c>
      <c r="B67" s="34">
        <v>40</v>
      </c>
      <c r="C67" s="5">
        <f>D62</f>
        <v>0</v>
      </c>
      <c r="D67" s="5" t="str">
        <f>IF(C67&gt;4,W6,IF(C67=4,W5,IF(C67=3,W4,IF(C67&lt;3,W3))))</f>
        <v>Слабый уровень развития эмоциональной сферы. Встречается очень редко. У ребенка отсутствует душевный отклик на события окружающей жизни, чувства и проблемы других людей. Ребенок выглядит спокойным, черствым, равнодушно рационалистичным. Он может эмоционально реагировать толь­ко на то, что касается непосредственно его самого.</v>
      </c>
    </row>
    <row r="68" spans="1:4" ht="15.75" x14ac:dyDescent="0.25">
      <c r="A68" s="30" t="s">
        <v>191</v>
      </c>
      <c r="B68" s="34">
        <v>41</v>
      </c>
      <c r="C68" s="5">
        <f>F62</f>
        <v>3</v>
      </c>
      <c r="D68" s="5" t="str">
        <f>IF(C68&gt;4,U6,IF(C68=4,U5,IF(C68=3,U4,IF(C68&lt;3,U3))))</f>
        <v>Ребенок может сам принимать решения и действовать в игровых и бытовых ситуациях. Обычно на лидерство не претендует, но свое мнение имеет и может его высказывать. С ним можно сотрудничать, договариваться, долго его убеждать не надо.</v>
      </c>
    </row>
    <row r="69" spans="1:4" x14ac:dyDescent="0.25">
      <c r="A69" s="29" t="s">
        <v>187</v>
      </c>
      <c r="B69" s="34">
        <v>42</v>
      </c>
      <c r="C69" s="5">
        <f>H62</f>
        <v>3</v>
      </c>
      <c r="D69" s="5" t="str">
        <f>IF(C69&gt;4,Q6,IF(C69=4,Q5,IF(C69=3,Q4,IF(C69&lt;3,Q3))))</f>
        <v>Ребенок еще нуждается во внешнем контроле, так как не всегда бывает исполнительным. Он в целом настроен делать все, что надо, но не всегда об этом помнит. Если спокойно, последовательно помогать ему выполнять все школьные дела и домашние обязанности, то полноценное ответственное поведение постепенно сформируется.</v>
      </c>
    </row>
    <row r="70" spans="1:4" x14ac:dyDescent="0.25">
      <c r="A70" s="29" t="s">
        <v>194</v>
      </c>
      <c r="B70" s="34">
        <v>43</v>
      </c>
      <c r="C70" s="5">
        <f>AC60</f>
        <v>3</v>
      </c>
      <c r="D70" s="5" t="str">
        <f>IF(C70&gt;4,X6,IF(C70=4,X5,IF(C70=3,X4,IF(C70&lt;3,X3))))</f>
        <v>Средние способности к адаптации. Может не проявлять особой инициативы в установлении контактов, но и не испытывать трудностей, когда это приходится делать.</v>
      </c>
    </row>
    <row r="71" spans="1:4" ht="20.25" customHeight="1" x14ac:dyDescent="0.25">
      <c r="A71" s="31" t="s">
        <v>192</v>
      </c>
      <c r="B71" s="34">
        <v>44</v>
      </c>
      <c r="C71" s="5">
        <f>X60</f>
        <v>4</v>
      </c>
      <c r="D71" s="5" t="str">
        <f>IF(C71&gt;4,V6,IF(C71=4,V5,IF(C71=3,V4,IF(C71&lt;3,V3))))</f>
        <v>Несколько повышенный уровень тревожности. Свидетельствует о наличии в жизни ребенка каких-то ситуаций, которые выводят его из эмоционального равновесия и требуют повышенной мобилизационной готовности, чтобы справляться с ними. Возможно, какие-то предметы ему даются не так легко, как другим детям, и он проявляет большую озабоченность по этому поводу. Иногда неумение рационально организовать свою деятельность приходится компенсировать дополнительными проверками, которые сопровождаются страхами, не забыто ли что-нибудь. Эти ситуации нужно выяснить и помочь ребенку либо в учебе, либо в самоорганизации.</v>
      </c>
    </row>
    <row r="72" spans="1:4" x14ac:dyDescent="0.25">
      <c r="A72" s="29" t="s">
        <v>189</v>
      </c>
      <c r="B72" s="34">
        <v>45</v>
      </c>
      <c r="C72" s="5">
        <f>S60</f>
        <v>2</v>
      </c>
      <c r="D72" s="5" t="str">
        <f>IF(C72&gt;4,S6,IF(C72=4,S5,IF(C72=3,S4,IF(C72&lt;3,S3))))</f>
        <v>Ребенок фактически пассивен, внутренние побудительные мотивы не выражены, может долгое время проводить в бездействии, если ему не предложат чем-то заняться или не требуется делать уроки. Бывает, что ни к чему не проявляет самостоятельного интереса. Не экспериментирует и поэтому не дос­тавляет взрослым неприятностей.</v>
      </c>
    </row>
    <row r="73" spans="1:4" x14ac:dyDescent="0.25">
      <c r="A73" s="29" t="s">
        <v>188</v>
      </c>
      <c r="B73" s="34">
        <v>46</v>
      </c>
      <c r="C73" s="5">
        <f>L62</f>
        <v>4</v>
      </c>
      <c r="D73" s="5" t="str">
        <f>IF(C73&gt;4,R6,IF(C73=4,R5,IF(C73=3,R4,IF(C73&lt;3,R3))))</f>
        <v>Ребенок приучен к размеренному и рационально спланированному образу жизни, распорядку дня. Умеет организовать свою работу в рамках привычного образа жизни, успевает все делать вовремя. Это еще нельзя сравнивать с волевой регуляцией взрослого человека, но определенные навыки самоконтроля и целенаправленной деятельности у ребенка уже сложились.</v>
      </c>
    </row>
    <row r="74" spans="1:4" ht="15.75" x14ac:dyDescent="0.25">
      <c r="A74" s="37" t="s">
        <v>196</v>
      </c>
      <c r="B74" s="34">
        <v>47</v>
      </c>
      <c r="C74" s="5">
        <f>M62</f>
        <v>2</v>
      </c>
      <c r="D74" s="5" t="str">
        <f>IF(C74&gt;4,Z6,IF(C74=4,Z5,IF(C74=3,Z4,IF(C74&lt;3,Z3))))</f>
        <v>Слабый уровень психического напряжения. Свидетельствует об отсутствии заинтересованности, эмоционального включения в работу, учебу. Ребенок обычно все выполняет формально, по минимуму. Причиной этого зачастую является лень. Иногда слабый уровень психического напряжения может быть следствием общей астенизации ребенка, крайней соматической ослабленности. Слабое психическое напряжение может быть также характерно для детей с высокими способностями, которым все очень легко дается.</v>
      </c>
    </row>
    <row r="75" spans="1:4" x14ac:dyDescent="0.25">
      <c r="A75" s="29" t="s">
        <v>190</v>
      </c>
      <c r="B75" s="34">
        <v>48</v>
      </c>
      <c r="C75" s="5">
        <f>N62</f>
        <v>1</v>
      </c>
      <c r="D75" s="5" t="str">
        <f>IF(C75&gt;4,T6,IF(C75=4,T5,IF(C75=3,T4,IF(C75&lt;3,T3))))</f>
        <v>Самокритичность отсутствует. Ребенок имеет о себе «улучшенное» представление, не видит своих недостатков, не в состоянии адекватно оценивать свои поступки. Такое самоотношение часто складывается и долго сохраняется у захваленных отличников, которые искренне считают себя идеальными детьми. Поскольку при этом они хорошо видят недостатки других детей и делают им замечания, у них могут не складываться отношения с одноклассниками.</v>
      </c>
    </row>
    <row r="80" spans="1:4" x14ac:dyDescent="0.25">
      <c r="A80" s="35" t="s">
        <v>197</v>
      </c>
      <c r="B80" s="34">
        <v>39</v>
      </c>
      <c r="C80" s="5">
        <f>C66</f>
        <v>4</v>
      </c>
      <c r="D80" s="5" t="str">
        <f>D66</f>
        <v>Ребенок нуждается в общении. Плохо переносит одиночество. Глубоко переживает ссоры с друзьями.</v>
      </c>
    </row>
    <row r="81" spans="1:4" x14ac:dyDescent="0.25">
      <c r="A81" s="35" t="s">
        <v>198</v>
      </c>
      <c r="B81" s="34">
        <v>40</v>
      </c>
      <c r="C81" s="5">
        <f t="shared" ref="C81:D89" si="1">C67</f>
        <v>0</v>
      </c>
      <c r="D81" s="5" t="str">
        <f t="shared" si="1"/>
        <v>Слабый уровень развития эмоциональной сферы. Встречается очень редко. У ребенка отсутствует душевный отклик на события окружающей жизни, чувства и проблемы других людей. Ребенок выглядит спокойным, черствым, равнодушно рационалистичным. Он может эмоционально реагировать толь­ко на то, что касается непосредственно его самого.</v>
      </c>
    </row>
    <row r="82" spans="1:4" x14ac:dyDescent="0.25">
      <c r="A82" s="35" t="s">
        <v>199</v>
      </c>
      <c r="B82" s="34">
        <v>41</v>
      </c>
      <c r="C82" s="5">
        <f t="shared" si="1"/>
        <v>3</v>
      </c>
      <c r="D82" s="5" t="str">
        <f t="shared" si="1"/>
        <v>Ребенок может сам принимать решения и действовать в игровых и бытовых ситуациях. Обычно на лидерство не претендует, но свое мнение имеет и может его высказывать. С ним можно сотрудничать, договариваться, долго его убеждать не надо.</v>
      </c>
    </row>
    <row r="83" spans="1:4" x14ac:dyDescent="0.25">
      <c r="A83" s="35" t="s">
        <v>200</v>
      </c>
      <c r="B83" s="34">
        <v>42</v>
      </c>
      <c r="C83" s="5">
        <f t="shared" si="1"/>
        <v>3</v>
      </c>
      <c r="D83" s="5" t="str">
        <f t="shared" si="1"/>
        <v>Ребенок еще нуждается во внешнем контроле, так как не всегда бывает исполнительным. Он в целом настроен делать все, что надо, но не всегда об этом помнит. Если спокойно, последовательно помогать ему выполнять все школьные дела и домашние обязанности, то полноценное ответственное поведение постепенно сформируется.</v>
      </c>
    </row>
    <row r="84" spans="1:4" x14ac:dyDescent="0.25">
      <c r="A84" s="35" t="s">
        <v>201</v>
      </c>
      <c r="B84" s="34">
        <v>43</v>
      </c>
      <c r="C84" s="5">
        <f t="shared" si="1"/>
        <v>3</v>
      </c>
      <c r="D84" s="5" t="str">
        <f t="shared" si="1"/>
        <v>Средние способности к адаптации. Может не проявлять особой инициативы в установлении контактов, но и не испытывать трудностей, когда это приходится делать.</v>
      </c>
    </row>
    <row r="85" spans="1:4" x14ac:dyDescent="0.25">
      <c r="A85" s="35" t="s">
        <v>202</v>
      </c>
      <c r="B85" s="34">
        <v>44</v>
      </c>
      <c r="C85" s="5">
        <f t="shared" si="1"/>
        <v>4</v>
      </c>
      <c r="D85" s="5" t="str">
        <f t="shared" si="1"/>
        <v>Несколько повышенный уровень тревожности. Свидетельствует о наличии в жизни ребенка каких-то ситуаций, которые выводят его из эмоционального равновесия и требуют повышенной мобилизационной готовности, чтобы справляться с ними. Возможно, какие-то предметы ему даются не так легко, как другим детям, и он проявляет большую озабоченность по этому поводу. Иногда неумение рационально организовать свою деятельность приходится компенсировать дополнительными проверками, которые сопровождаются страхами, не забыто ли что-нибудь. Эти ситуации нужно выяснить и помочь ребенку либо в учебе, либо в самоорганизации.</v>
      </c>
    </row>
    <row r="86" spans="1:4" x14ac:dyDescent="0.25">
      <c r="A86" s="35" t="s">
        <v>203</v>
      </c>
      <c r="B86" s="34">
        <v>45</v>
      </c>
      <c r="C86" s="5">
        <f t="shared" si="1"/>
        <v>2</v>
      </c>
      <c r="D86" s="5" t="str">
        <f t="shared" si="1"/>
        <v>Ребенок фактически пассивен, внутренние побудительные мотивы не выражены, может долгое время проводить в бездействии, если ему не предложат чем-то заняться или не требуется делать уроки. Бывает, что ни к чему не проявляет самостоятельного интереса. Не экспериментирует и поэтому не дос­тавляет взрослым неприятностей.</v>
      </c>
    </row>
    <row r="87" spans="1:4" x14ac:dyDescent="0.25">
      <c r="A87" s="35" t="s">
        <v>204</v>
      </c>
      <c r="B87" s="34">
        <v>46</v>
      </c>
      <c r="C87" s="5">
        <f t="shared" si="1"/>
        <v>4</v>
      </c>
      <c r="D87" s="5" t="str">
        <f t="shared" si="1"/>
        <v>Ребенок приучен к размеренному и рационально спланированному образу жизни, распорядку дня. Умеет организовать свою работу в рамках привычного образа жизни, успевает все делать вовремя. Это еще нельзя сравнивать с волевой регуляцией взрослого человека, но определенные навыки самоконтроля и целенаправленной деятельности у ребенка уже сложились.</v>
      </c>
    </row>
    <row r="88" spans="1:4" x14ac:dyDescent="0.25">
      <c r="A88" s="35" t="s">
        <v>205</v>
      </c>
      <c r="B88" s="34">
        <v>47</v>
      </c>
      <c r="C88" s="5">
        <f t="shared" si="1"/>
        <v>2</v>
      </c>
      <c r="D88" s="5" t="str">
        <f t="shared" si="1"/>
        <v>Слабый уровень психического напряжения. Свидетельствует об отсутствии заинтересованности, эмоционального включения в работу, учебу. Ребенок обычно все выполняет формально, по минимуму. Причиной этого зачастую является лень. Иногда слабый уровень психического напряжения может быть следствием общей астенизации ребенка, крайней соматической ослабленности. Слабое психическое напряжение может быть также характерно для детей с высокими способностями, которым все очень легко дается.</v>
      </c>
    </row>
    <row r="89" spans="1:4" x14ac:dyDescent="0.25">
      <c r="A89" s="35" t="s">
        <v>206</v>
      </c>
      <c r="B89" s="34">
        <v>48</v>
      </c>
      <c r="C89" s="5">
        <f t="shared" si="1"/>
        <v>1</v>
      </c>
      <c r="D89" s="5" t="str">
        <f t="shared" si="1"/>
        <v>Самокритичность отсутствует. Ребенок имеет о себе «улучшенное» представление, не видит своих недостатков, не в состоянии адекватно оценивать свои поступки. Такое самоотношение часто складывается и долго сохраняется у захваленных отличников, которые искренне считают себя идеальными детьми. Поскольку при этом они хорошо видят недостатки других детей и делают им замечания, у них могут не складываться отношения с одноклассниками.</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X_Title_Sheet"/>
  <dimension ref="B1:B7"/>
  <sheetViews>
    <sheetView showGridLines="0" showRowColHeaders="0" tabSelected="1" workbookViewId="0">
      <selection activeCell="H16" sqref="H16"/>
    </sheetView>
  </sheetViews>
  <sheetFormatPr defaultRowHeight="15" x14ac:dyDescent="0.25"/>
  <cols>
    <col min="1" max="1" width="38.140625" customWidth="1"/>
  </cols>
  <sheetData>
    <row r="1" spans="2:2" ht="92.25" customHeight="1" x14ac:dyDescent="0.25"/>
    <row r="2" spans="2:2" x14ac:dyDescent="0.25">
      <c r="B2" t="s">
        <v>1</v>
      </c>
    </row>
    <row r="7" spans="2:2" x14ac:dyDescent="0.25">
      <c r="B7" t="s">
        <v>0</v>
      </c>
    </row>
  </sheetData>
  <sheetProtection algorithmName="SHA-512" hashValue="aA2P6Djn7abpEQwiUfnDJkXqlMSWzbbeiQNvRz+4MSgskkXCyu1r5py4FwfOSxH4QeU69TjuDfkgJSAHJqmsuw==" saltValue="S1FfTft1nnnUdqF6YZ9RTg==" spinCount="100000" sheet="1" objects="1" scenarios="1" selectLockedCells="1" selectUn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Group_List">
          <controlPr defaultSize="0" autoLine="0" autoPict="0" r:id="rId5">
            <anchor moveWithCells="1">
              <from>
                <xdr:col>1</xdr:col>
                <xdr:colOff>9525</xdr:colOff>
                <xdr:row>3</xdr:row>
                <xdr:rowOff>9525</xdr:rowOff>
              </from>
              <to>
                <xdr:col>7</xdr:col>
                <xdr:colOff>9525</xdr:colOff>
                <xdr:row>4</xdr:row>
                <xdr:rowOff>66675</xdr:rowOff>
              </to>
            </anchor>
          </controlPr>
        </control>
      </mc:Choice>
      <mc:Fallback>
        <control shapeId="1027" r:id="rId4" name="Group_List"/>
      </mc:Fallback>
    </mc:AlternateContent>
    <mc:AlternateContent xmlns:mc="http://schemas.openxmlformats.org/markup-compatibility/2006">
      <mc:Choice Requires="x14">
        <control shapeId="1026" r:id="rId6" name="Pupil_List">
          <controlPr defaultSize="0" autoLine="0" r:id="rId7">
            <anchor moveWithCells="1">
              <from>
                <xdr:col>1</xdr:col>
                <xdr:colOff>9525</xdr:colOff>
                <xdr:row>8</xdr:row>
                <xdr:rowOff>0</xdr:rowOff>
              </from>
              <to>
                <xdr:col>7</xdr:col>
                <xdr:colOff>9525</xdr:colOff>
                <xdr:row>9</xdr:row>
                <xdr:rowOff>57150</xdr:rowOff>
              </to>
            </anchor>
          </controlPr>
        </control>
      </mc:Choice>
      <mc:Fallback>
        <control shapeId="1026" r:id="rId6" name="Pupil_List"/>
      </mc:Fallback>
    </mc:AlternateContent>
    <mc:AlternateContent xmlns:mc="http://schemas.openxmlformats.org/markup-compatibility/2006">
      <mc:Choice Requires="x14">
        <control shapeId="1031" r:id="rId8" name="Button 7">
          <controlPr defaultSize="0" print="0" autoFill="0" autoPict="0" macro="[0]!ThisWorkbook.Start_Test">
            <anchor moveWithCells="1" sizeWithCells="1">
              <from>
                <xdr:col>1</xdr:col>
                <xdr:colOff>9525</xdr:colOff>
                <xdr:row>11</xdr:row>
                <xdr:rowOff>0</xdr:rowOff>
              </from>
              <to>
                <xdr:col>6</xdr:col>
                <xdr:colOff>600075</xdr:colOff>
                <xdr:row>13</xdr:row>
                <xdr:rowOff>0</xdr:rowOff>
              </to>
            </anchor>
          </controlPr>
        </control>
      </mc:Choice>
    </mc:AlternateContent>
    <mc:AlternateContent xmlns:mc="http://schemas.openxmlformats.org/markup-compatibility/2006">
      <mc:Choice Requires="x14">
        <control shapeId="1032" r:id="rId9" name="Button 8">
          <controlPr defaultSize="0" print="0" autoFill="0" autoPict="0" macro="[0]!ThisWorkbook.Exit_Module">
            <anchor moveWithCells="1" sizeWithCells="1">
              <from>
                <xdr:col>1</xdr:col>
                <xdr:colOff>19050</xdr:colOff>
                <xdr:row>15</xdr:row>
                <xdr:rowOff>0</xdr:rowOff>
              </from>
              <to>
                <xdr:col>7</xdr:col>
                <xdr:colOff>0</xdr:colOff>
                <xdr:row>17</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X_Metrics_Sheet"/>
  <dimension ref="A1:K23"/>
  <sheetViews>
    <sheetView workbookViewId="0">
      <selection activeCell="J6" sqref="J6"/>
    </sheetView>
  </sheetViews>
  <sheetFormatPr defaultRowHeight="15" x14ac:dyDescent="0.25"/>
  <cols>
    <col min="1" max="10" width="13.5703125" customWidth="1"/>
  </cols>
  <sheetData>
    <row r="1" spans="1:11" ht="60" x14ac:dyDescent="0.25">
      <c r="A1" s="35" t="s">
        <v>197</v>
      </c>
      <c r="B1" s="35" t="s">
        <v>198</v>
      </c>
      <c r="C1" s="35" t="s">
        <v>199</v>
      </c>
      <c r="D1" s="35" t="s">
        <v>200</v>
      </c>
      <c r="E1" s="35" t="s">
        <v>201</v>
      </c>
      <c r="F1" s="35" t="s">
        <v>202</v>
      </c>
      <c r="G1" s="35" t="s">
        <v>203</v>
      </c>
      <c r="H1" s="35" t="s">
        <v>204</v>
      </c>
      <c r="I1" s="35" t="s">
        <v>205</v>
      </c>
      <c r="J1" s="35" t="s">
        <v>206</v>
      </c>
    </row>
    <row r="2" spans="1:11" x14ac:dyDescent="0.25">
      <c r="A2" s="34">
        <v>39</v>
      </c>
      <c r="B2" s="34">
        <v>40</v>
      </c>
      <c r="C2" s="34">
        <v>41</v>
      </c>
      <c r="D2" s="34">
        <v>42</v>
      </c>
      <c r="E2" s="34">
        <v>43</v>
      </c>
      <c r="F2" s="34">
        <v>44</v>
      </c>
      <c r="G2" s="34">
        <v>45</v>
      </c>
      <c r="H2" s="34">
        <v>46</v>
      </c>
      <c r="I2" s="34">
        <v>47</v>
      </c>
      <c r="J2" s="34">
        <v>48</v>
      </c>
    </row>
    <row r="3" spans="1:11" x14ac:dyDescent="0.25">
      <c r="A3">
        <f>Лист2!$C80</f>
        <v>4</v>
      </c>
      <c r="B3">
        <f>Лист2!$C81</f>
        <v>0</v>
      </c>
      <c r="C3">
        <f>Лист2!$C82</f>
        <v>3</v>
      </c>
      <c r="D3">
        <f>Лист2!$C83</f>
        <v>3</v>
      </c>
      <c r="E3">
        <f>Лист2!$C84</f>
        <v>3</v>
      </c>
      <c r="F3">
        <f>Лист2!$C85</f>
        <v>4</v>
      </c>
      <c r="G3">
        <f>Лист2!$C86</f>
        <v>2</v>
      </c>
      <c r="H3">
        <f>Лист2!$C87</f>
        <v>4</v>
      </c>
      <c r="I3">
        <f>Лист2!$C88</f>
        <v>2</v>
      </c>
      <c r="J3">
        <f>Лист2!$C89</f>
        <v>1</v>
      </c>
    </row>
    <row r="5" spans="1:11" x14ac:dyDescent="0.25">
      <c r="A5" t="str">
        <f>Лист2!$D80</f>
        <v>Ребенок нуждается в общении. Плохо переносит одиночество. Глубоко переживает ссоры с друзьями.</v>
      </c>
      <c r="B5" t="str">
        <f>Лист2!$D81</f>
        <v>Слабый уровень развития эмоциональной сферы. Встречается очень редко. У ребенка отсутствует душевный отклик на события окружающей жизни, чувства и проблемы других людей. Ребенок выглядит спокойным, черствым, равнодушно рационалистичным. Он может эмоционально реагировать толь­ко на то, что касается непосредственно его самого.</v>
      </c>
      <c r="C5" t="str">
        <f>Лист2!$D82</f>
        <v>Ребенок может сам принимать решения и действовать в игровых и бытовых ситуациях. Обычно на лидерство не претендует, но свое мнение имеет и может его высказывать. С ним можно сотрудничать, договариваться, долго его убеждать не надо.</v>
      </c>
      <c r="D5" t="str">
        <f>Лист2!$D83</f>
        <v>Ребенок еще нуждается во внешнем контроле, так как не всегда бывает исполнительным. Он в целом настроен делать все, что надо, но не всегда об этом помнит. Если спокойно, последовательно помогать ему выполнять все школьные дела и домашние обязанности, то полноценное ответственное поведение постепенно сформируется.</v>
      </c>
      <c r="E5" t="str">
        <f>Лист2!$D84</f>
        <v>Средние способности к адаптации. Может не проявлять особой инициативы в установлении контактов, но и не испытывать трудностей, когда это приходится делать.</v>
      </c>
      <c r="F5" t="str">
        <f>Лист2!$D85</f>
        <v>Несколько повышенный уровень тревожности. Свидетельствует о наличии в жизни ребенка каких-то ситуаций, которые выводят его из эмоционального равновесия и требуют повышенной мобилизационной готовности, чтобы справляться с ними. Возможно, какие-то предметы ему даются не так легко, как другим детям, и он проявляет большую озабоченность по этому поводу. Иногда неумение рационально организовать свою деятельность приходится компенсировать дополнительными проверками, которые сопровождаются страхами, не забыто ли что-нибудь. Эти ситуации нужно выяснить и помочь ребенку либо в учебе, либо в самоорганизации.</v>
      </c>
      <c r="G5" t="str">
        <f>Лист2!$D86</f>
        <v>Ребенок фактически пассивен, внутренние побудительные мотивы не выражены, может долгое время проводить в бездействии, если ему не предложат чем-то заняться или не требуется делать уроки. Бывает, что ни к чему не проявляет самостоятельного интереса. Не экспериментирует и поэтому не дос­тавляет взрослым неприятностей.</v>
      </c>
      <c r="H5" t="str">
        <f>Лист2!$D87</f>
        <v>Ребенок приучен к размеренному и рационально спланированному образу жизни, распорядку дня. Умеет организовать свою работу в рамках привычного образа жизни, успевает все делать вовремя. Это еще нельзя сравнивать с волевой регуляцией взрослого человека, но определенные навыки самоконтроля и целенаправленной деятельности у ребенка уже сложились.</v>
      </c>
      <c r="I5" t="str">
        <f>Лист2!$D88</f>
        <v>Слабый уровень психического напряжения. Свидетельствует об отсутствии заинтересованности, эмоционального включения в работу, учебу. Ребенок обычно все выполняет формально, по минимуму. Причиной этого зачастую является лень. Иногда слабый уровень психического напряжения может быть следствием общей астенизации ребенка, крайней соматической ослабленности. Слабое психическое напряжение может быть также характерно для детей с высокими способностями, которым все очень легко дается.</v>
      </c>
      <c r="J5" t="str">
        <f>Лист2!$D89</f>
        <v>Самокритичность отсутствует. Ребенок имеет о себе «улучшенное» представление, не видит своих недостатков, не в состоянии адекватно оценивать свои поступки. Такое самоотношение часто складывается и долго сохраняется у захваленных отличников, которые искренне считают себя идеальными детьми. Поскольку при этом они хорошо видят недостатки других детей и делают им замечания, у них могут не складываться отношения с одноклассниками.</v>
      </c>
    </row>
    <row r="8" spans="1:11" ht="15.75" x14ac:dyDescent="0.25">
      <c r="E8" s="29"/>
      <c r="F8" s="30"/>
      <c r="G8" s="31"/>
      <c r="H8" s="29"/>
      <c r="I8" s="29"/>
      <c r="J8" s="32"/>
      <c r="K8" s="33"/>
    </row>
    <row r="9" spans="1:11" x14ac:dyDescent="0.25">
      <c r="E9" s="5"/>
      <c r="F9" s="5"/>
      <c r="G9" s="5"/>
      <c r="H9" s="5"/>
      <c r="I9" s="5"/>
      <c r="J9" s="5"/>
      <c r="K9" s="5"/>
    </row>
    <row r="10" spans="1:11" x14ac:dyDescent="0.25">
      <c r="E10" s="5"/>
      <c r="F10" s="5"/>
      <c r="G10" s="5"/>
      <c r="H10" s="5"/>
      <c r="I10" s="5"/>
      <c r="J10" s="5"/>
      <c r="K10" s="5"/>
    </row>
    <row r="14" spans="1:11" x14ac:dyDescent="0.25">
      <c r="A14" s="35"/>
      <c r="B14" s="34"/>
    </row>
    <row r="15" spans="1:11" x14ac:dyDescent="0.25">
      <c r="A15" s="35"/>
      <c r="B15" s="34"/>
    </row>
    <row r="16" spans="1:11" x14ac:dyDescent="0.25">
      <c r="A16" s="35"/>
      <c r="B16" s="34"/>
    </row>
    <row r="17" spans="1:4" x14ac:dyDescent="0.25">
      <c r="A17" s="35"/>
      <c r="B17" s="34"/>
    </row>
    <row r="18" spans="1:4" x14ac:dyDescent="0.25">
      <c r="A18" s="35"/>
      <c r="B18" s="34"/>
      <c r="C18" s="5"/>
      <c r="D18" s="5"/>
    </row>
    <row r="19" spans="1:4" x14ac:dyDescent="0.25">
      <c r="A19" s="35"/>
      <c r="B19" s="34"/>
      <c r="C19" s="5"/>
      <c r="D19" s="5"/>
    </row>
    <row r="20" spans="1:4" x14ac:dyDescent="0.25">
      <c r="A20" s="35"/>
      <c r="B20" s="34"/>
      <c r="C20" s="5"/>
      <c r="D20" s="5"/>
    </row>
    <row r="21" spans="1:4" x14ac:dyDescent="0.25">
      <c r="A21" s="35"/>
      <c r="B21" s="34"/>
      <c r="C21" s="5"/>
      <c r="D21" s="5"/>
    </row>
    <row r="22" spans="1:4" x14ac:dyDescent="0.25">
      <c r="A22" s="35"/>
      <c r="B22" s="34"/>
      <c r="C22" s="5"/>
      <c r="D22" s="5"/>
    </row>
    <row r="23" spans="1:4" x14ac:dyDescent="0.25">
      <c r="A23" s="35"/>
      <c r="B23" s="34"/>
      <c r="C23" s="5"/>
      <c r="D23" s="5"/>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71" r:id="rId4" name="CommandButton1">
          <controlPr defaultSize="0" autoLine="0" r:id="rId5">
            <anchor moveWithCells="1">
              <from>
                <xdr:col>12</xdr:col>
                <xdr:colOff>447675</xdr:colOff>
                <xdr:row>17</xdr:row>
                <xdr:rowOff>0</xdr:rowOff>
              </from>
              <to>
                <xdr:col>17</xdr:col>
                <xdr:colOff>333375</xdr:colOff>
                <xdr:row>22</xdr:row>
                <xdr:rowOff>9525</xdr:rowOff>
              </to>
            </anchor>
          </controlPr>
        </control>
      </mc:Choice>
      <mc:Fallback>
        <control shapeId="7171" r:id="rId4" name="CommandButton1"/>
      </mc:Fallback>
    </mc:AlternateContent>
    <mc:AlternateContent xmlns:mc="http://schemas.openxmlformats.org/markup-compatibility/2006">
      <mc:Choice Requires="x14">
        <control shapeId="7169" r:id="rId6" name="TestRanges">
          <controlPr defaultSize="0" autoLine="0" r:id="rId7">
            <anchor moveWithCells="1">
              <from>
                <xdr:col>12</xdr:col>
                <xdr:colOff>466725</xdr:colOff>
                <xdr:row>23</xdr:row>
                <xdr:rowOff>28575</xdr:rowOff>
              </from>
              <to>
                <xdr:col>17</xdr:col>
                <xdr:colOff>352425</xdr:colOff>
                <xdr:row>28</xdr:row>
                <xdr:rowOff>38100</xdr:rowOff>
              </to>
            </anchor>
          </controlPr>
        </control>
      </mc:Choice>
      <mc:Fallback>
        <control shapeId="7169" r:id="rId6" name="TestRanges"/>
      </mc:Fallback>
    </mc:AlternateContent>
    <mc:AlternateContent xmlns:mc="http://schemas.openxmlformats.org/markup-compatibility/2006">
      <mc:Choice Requires="x14">
        <control shapeId="7170" r:id="rId8" name="Button 2">
          <controlPr defaultSize="0" print="0" autoFill="0" autoPict="0" macro="[0]!ThisWorkbook.Complete_Test">
            <anchor moveWithCells="1" sizeWithCells="1">
              <from>
                <xdr:col>13</xdr:col>
                <xdr:colOff>400050</xdr:colOff>
                <xdr:row>6</xdr:row>
                <xdr:rowOff>152400</xdr:rowOff>
              </from>
              <to>
                <xdr:col>14</xdr:col>
                <xdr:colOff>400050</xdr:colOff>
                <xdr:row>8</xdr:row>
                <xdr:rowOff>161925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Лист1</vt:lpstr>
      <vt:lpstr>Лист2</vt:lpstr>
      <vt:lpstr>Титульная страница</vt:lpstr>
      <vt:lpstr>Итоговые метрики</vt:lpstr>
    </vt:vector>
  </TitlesOfParts>
  <Company>rg-adguard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2018-06-05T10:50:44Z</dcterms:created>
  <dcterms:modified xsi:type="dcterms:W3CDTF">2018-06-07T01:54:08Z</dcterms:modified>
</cp:coreProperties>
</file>