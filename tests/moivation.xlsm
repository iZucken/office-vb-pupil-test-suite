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7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8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9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1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1.xml" ContentType="application/vnd.ms-excel.controlproperties+xml"/>
  <Override PartName="/xl/ctrlProps/ctrlProp42.xml" ContentType="application/vnd.ms-excel.controlproperties+xml"/>
  <Override PartName="/xl/drawings/drawing1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Projects\vladumur\finalized tests\"/>
    </mc:Choice>
  </mc:AlternateContent>
  <bookViews>
    <workbookView xWindow="0" yWindow="0" windowWidth="24705" windowHeight="12255" activeTab="11"/>
  </bookViews>
  <sheets>
    <sheet name="1" sheetId="4" r:id="rId1"/>
    <sheet name="2" sheetId="5" r:id="rId2"/>
    <sheet name="3" sheetId="6" r:id="rId3"/>
    <sheet name="4" sheetId="7" r:id="rId4"/>
    <sheet name="5" sheetId="8" r:id="rId5"/>
    <sheet name="6" sheetId="9" r:id="rId6"/>
    <sheet name="7" sheetId="10" r:id="rId7"/>
    <sheet name="8" sheetId="11" r:id="rId8"/>
    <sheet name="9" sheetId="12" r:id="rId9"/>
    <sheet name="10" sheetId="13" r:id="rId10"/>
    <sheet name="Расчеты" sheetId="14" r:id="rId11"/>
    <sheet name="Титульная страница" sheetId="1" r:id="rId12"/>
    <sheet name="Итоговые метрики" sheetId="3" r:id="rId1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3" l="1"/>
  <c r="A1" i="3"/>
  <c r="D14" i="14"/>
  <c r="C14" i="14"/>
  <c r="D13" i="14"/>
  <c r="C13" i="14"/>
  <c r="D12" i="14"/>
  <c r="C12" i="14"/>
  <c r="D11" i="14"/>
  <c r="C11" i="14"/>
  <c r="D10" i="14"/>
  <c r="C10" i="14"/>
  <c r="A10" i="14"/>
  <c r="I10" i="14" s="1"/>
  <c r="D9" i="14"/>
  <c r="D21" i="14" s="1"/>
  <c r="F21" i="14" s="1"/>
  <c r="C9" i="14"/>
  <c r="A9" i="14"/>
  <c r="I9" i="14" s="1"/>
  <c r="D8" i="14"/>
  <c r="C8" i="14"/>
  <c r="A8" i="14"/>
  <c r="I8" i="14" s="1"/>
  <c r="D7" i="14"/>
  <c r="C7" i="14"/>
  <c r="A7" i="14"/>
  <c r="I7" i="14" s="1"/>
  <c r="D6" i="14"/>
  <c r="C6" i="14"/>
  <c r="A6" i="14"/>
  <c r="I6" i="14" s="1"/>
  <c r="D5" i="14"/>
  <c r="C5" i="14"/>
  <c r="A5" i="14"/>
  <c r="I5" i="14" s="1"/>
  <c r="A4" i="14"/>
  <c r="I4" i="14" s="1"/>
  <c r="A3" i="14"/>
  <c r="I3" i="14" s="1"/>
  <c r="A2" i="14"/>
  <c r="I2" i="14" s="1"/>
  <c r="A1" i="14"/>
  <c r="I1" i="14" s="1"/>
  <c r="D15" i="14" l="1"/>
  <c r="D17" i="14" s="1"/>
  <c r="K13" i="14" s="1"/>
  <c r="D23" i="14"/>
  <c r="F23" i="14" s="1"/>
  <c r="D22" i="14"/>
  <c r="F22" i="14" s="1"/>
  <c r="D20" i="14"/>
  <c r="F20" i="14" s="1"/>
  <c r="D24" i="14"/>
  <c r="F24" i="14" s="1"/>
  <c r="K14" i="14"/>
  <c r="A4" i="3" s="1"/>
  <c r="A3" i="3"/>
  <c r="K15" i="14" l="1"/>
  <c r="A5" i="3" s="1"/>
</calcChain>
</file>

<file path=xl/sharedStrings.xml><?xml version="1.0" encoding="utf-8"?>
<sst xmlns="http://schemas.openxmlformats.org/spreadsheetml/2006/main" count="19" uniqueCount="17">
  <si>
    <t>Выбор ученика</t>
  </si>
  <si>
    <t>Выбор группы</t>
  </si>
  <si>
    <t>В этой анкете тебе предстоит ответить на 10 вопросов о том, как ты относишься к гимназии. Чтобы выбрать ответ, просто нажми по нему.</t>
  </si>
  <si>
    <t>После этого кружок закрасится черным. Если тебе нужно изменить ответ - не волнуйся, ты можешь в любой момент вернуться и выбрать другой вариант!</t>
  </si>
  <si>
    <t>Лускановой</t>
  </si>
  <si>
    <t xml:space="preserve">метрика </t>
  </si>
  <si>
    <t>балл</t>
  </si>
  <si>
    <t>ответы</t>
  </si>
  <si>
    <t>сумм</t>
  </si>
  <si>
    <t>вывод</t>
  </si>
  <si>
    <t>количественный анализ</t>
  </si>
  <si>
    <t>качественный анализ</t>
  </si>
  <si>
    <t>Эмоциональное отношение к школе</t>
  </si>
  <si>
    <t>Перегрузка</t>
  </si>
  <si>
    <t>Изоляция ребенка</t>
  </si>
  <si>
    <t>Положение в группе</t>
  </si>
  <si>
    <t>Скрытое неблагополучие в отношении к школе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</si>
</sst>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sz val="11"/>
      <color theme="0" tint="-4.9989318521683403E-2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Border="1"/>
    <xf numFmtId="0" fontId="0" fillId="2" borderId="0" xfId="0" applyFill="1" applyProtection="1"/>
    <xf numFmtId="0" fontId="4" fillId="2" borderId="0" xfId="0" applyFont="1" applyFill="1" applyProtection="1"/>
    <xf numFmtId="0" fontId="4" fillId="2" borderId="0" xfId="0" applyFont="1" applyFill="1"/>
    <xf numFmtId="0" fontId="0" fillId="2" borderId="0" xfId="0" applyFill="1"/>
    <xf numFmtId="0" fontId="2" fillId="2" borderId="0" xfId="0" applyFont="1" applyFill="1" applyProtection="1"/>
    <xf numFmtId="0" fontId="0" fillId="2" borderId="0" xfId="0" applyFill="1" applyBorder="1" applyProtection="1"/>
    <xf numFmtId="0" fontId="6" fillId="2" borderId="0" xfId="0" applyFont="1" applyFill="1" applyProtection="1"/>
    <xf numFmtId="0" fontId="4" fillId="2" borderId="0" xfId="0" applyFont="1" applyFill="1" applyBorder="1" applyProtection="1"/>
    <xf numFmtId="0" fontId="4" fillId="2" borderId="0" xfId="0" applyFont="1" applyFill="1" applyBorder="1"/>
    <xf numFmtId="0" fontId="7" fillId="2" borderId="0" xfId="0" applyFont="1" applyFill="1" applyAlignment="1" applyProtection="1">
      <alignment horizontal="right" vertical="top"/>
    </xf>
    <xf numFmtId="0" fontId="7" fillId="2" borderId="0" xfId="0" applyNumberFormat="1" applyFont="1" applyFill="1" applyAlignment="1" applyProtection="1">
      <alignment vertical="top"/>
    </xf>
    <xf numFmtId="0" fontId="8" fillId="2" borderId="0" xfId="0" applyFont="1" applyFill="1" applyAlignment="1" applyProtection="1">
      <alignment vertical="top"/>
    </xf>
    <xf numFmtId="0" fontId="9" fillId="2" borderId="0" xfId="0" applyFont="1" applyFill="1" applyBorder="1" applyProtection="1">
      <protection locked="0"/>
    </xf>
    <xf numFmtId="0" fontId="10" fillId="2" borderId="0" xfId="0" applyFont="1" applyFill="1" applyProtection="1"/>
    <xf numFmtId="0" fontId="11" fillId="2" borderId="0" xfId="0" applyFont="1" applyFill="1" applyProtection="1"/>
    <xf numFmtId="0" fontId="10" fillId="2" borderId="0" xfId="0" applyFont="1" applyFill="1"/>
    <xf numFmtId="0" fontId="11" fillId="2" borderId="0" xfId="0" applyFont="1" applyFill="1"/>
    <xf numFmtId="0" fontId="2" fillId="2" borderId="0" xfId="0" applyFont="1" applyFill="1"/>
    <xf numFmtId="0" fontId="0" fillId="2" borderId="0" xfId="0" applyFill="1" applyBorder="1" applyProtection="1">
      <protection locked="0"/>
    </xf>
    <xf numFmtId="0" fontId="6" fillId="2" borderId="0" xfId="0" applyFont="1" applyFill="1"/>
    <xf numFmtId="0" fontId="0" fillId="2" borderId="0" xfId="0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ill="1" applyBorder="1"/>
    <xf numFmtId="0" fontId="12" fillId="2" borderId="0" xfId="0" applyFont="1" applyFill="1" applyBorder="1" applyAlignment="1" applyProtection="1"/>
    <xf numFmtId="0" fontId="7" fillId="2" borderId="0" xfId="0" applyFont="1" applyFill="1" applyAlignment="1">
      <alignment horizontal="right" vertical="top"/>
    </xf>
    <xf numFmtId="0" fontId="13" fillId="2" borderId="0" xfId="0" applyFont="1" applyFill="1" applyAlignment="1">
      <alignment horizontal="center" vertical="center"/>
    </xf>
    <xf numFmtId="0" fontId="7" fillId="2" borderId="0" xfId="0" applyNumberFormat="1" applyFont="1" applyFill="1" applyAlignment="1">
      <alignment vertical="top"/>
    </xf>
    <xf numFmtId="0" fontId="8" fillId="2" borderId="0" xfId="0" applyFont="1" applyFill="1" applyAlignment="1">
      <alignment vertical="top"/>
    </xf>
    <xf numFmtId="0" fontId="12" fillId="2" borderId="0" xfId="0" applyFont="1" applyFill="1" applyBorder="1" applyAlignment="1"/>
    <xf numFmtId="0" fontId="4" fillId="2" borderId="0" xfId="0" applyFont="1" applyFill="1" applyBorder="1" applyProtection="1">
      <protection locked="0"/>
    </xf>
    <xf numFmtId="0" fontId="2" fillId="0" borderId="0" xfId="0" applyFont="1" applyFill="1"/>
    <xf numFmtId="0" fontId="0" fillId="0" borderId="0" xfId="0" applyFill="1"/>
    <xf numFmtId="0" fontId="0" fillId="0" borderId="0" xfId="0" applyFill="1" applyBorder="1" applyProtection="1">
      <protection locked="0"/>
    </xf>
    <xf numFmtId="0" fontId="6" fillId="0" borderId="0" xfId="0" applyFont="1" applyFill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/>
    <xf numFmtId="0" fontId="0" fillId="0" borderId="0" xfId="0" applyFill="1" applyBorder="1"/>
    <xf numFmtId="0" fontId="4" fillId="0" borderId="0" xfId="0" applyFont="1" applyFill="1"/>
    <xf numFmtId="0" fontId="4" fillId="0" borderId="0" xfId="0" applyFont="1" applyFill="1" applyBorder="1"/>
    <xf numFmtId="0" fontId="12" fillId="0" borderId="0" xfId="0" applyFont="1" applyFill="1" applyBorder="1" applyAlignment="1"/>
    <xf numFmtId="0" fontId="7" fillId="0" borderId="0" xfId="0" applyFont="1" applyFill="1" applyAlignment="1">
      <alignment horizontal="right" vertical="top"/>
    </xf>
    <xf numFmtId="0" fontId="13" fillId="0" borderId="0" xfId="0" applyFont="1" applyFill="1" applyAlignment="1">
      <alignment horizontal="center" vertical="center"/>
    </xf>
    <xf numFmtId="0" fontId="7" fillId="0" borderId="0" xfId="0" applyNumberFormat="1" applyFont="1" applyFill="1" applyAlignment="1">
      <alignment vertical="top"/>
    </xf>
    <xf numFmtId="0" fontId="8" fillId="0" borderId="0" xfId="0" applyFont="1" applyFill="1" applyAlignment="1">
      <alignment vertical="top"/>
    </xf>
    <xf numFmtId="0" fontId="9" fillId="0" borderId="0" xfId="0" applyFon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10" fillId="0" borderId="0" xfId="0" applyFont="1" applyFill="1"/>
    <xf numFmtId="0" fontId="11" fillId="0" borderId="0" xfId="0" applyFont="1" applyFill="1"/>
    <xf numFmtId="0" fontId="3" fillId="2" borderId="0" xfId="0" applyFont="1" applyFill="1" applyBorder="1" applyProtection="1">
      <protection locked="0"/>
    </xf>
    <xf numFmtId="0" fontId="4" fillId="0" borderId="0" xfId="0" applyFont="1"/>
    <xf numFmtId="0" fontId="14" fillId="0" borderId="0" xfId="0" applyFont="1"/>
    <xf numFmtId="0" fontId="7" fillId="2" borderId="0" xfId="0" applyFont="1" applyFill="1" applyAlignment="1" applyProtection="1">
      <alignment horizontal="left" vertical="top"/>
    </xf>
    <xf numFmtId="0" fontId="5" fillId="2" borderId="0" xfId="0" applyFont="1" applyFill="1" applyAlignment="1" applyProtection="1">
      <alignment horizontal="center" vertical="center"/>
    </xf>
    <xf numFmtId="0" fontId="6" fillId="2" borderId="0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Radio" firstButton="1" fmlaLink="$AA$5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Radio" firstButton="1" fmlaLink="$AA$5" lockText="1" noThreeD="1"/>
</file>

<file path=xl/ctrlProps/ctrlProp7.xml><?xml version="1.0" encoding="utf-8"?>
<formControlPr xmlns="http://schemas.microsoft.com/office/spreadsheetml/2009/9/main" objectType="Radio" checked="Checked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GBox"/>
</file>

<file path=xl/ctrlProps/ctrlProp10.xml><?xml version="1.0" encoding="utf-8"?>
<formControlPr xmlns="http://schemas.microsoft.com/office/spreadsheetml/2009/9/main" objectType="Radio" firstButton="1" fmlaLink="$AA$5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GBox"/>
</file>

<file path=xl/ctrlProps/ctrlProp14.xml><?xml version="1.0" encoding="utf-8"?>
<formControlPr xmlns="http://schemas.microsoft.com/office/spreadsheetml/2009/9/main" objectType="Radio" firstButton="1" fmlaLink="$AA$5" lockText="1" noThreeD="1"/>
</file>

<file path=xl/ctrlProps/ctrlProp15.xml><?xml version="1.0" encoding="utf-8"?>
<formControlPr xmlns="http://schemas.microsoft.com/office/spreadsheetml/2009/9/main" objectType="Radio" checked="Checked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GBox"/>
</file>

<file path=xl/ctrlProps/ctrlProp18.xml><?xml version="1.0" encoding="utf-8"?>
<formControlPr xmlns="http://schemas.microsoft.com/office/spreadsheetml/2009/9/main" objectType="Radio" firstButton="1" fmlaLink="$AA$5" lockText="1" noThreeD="1"/>
</file>

<file path=xl/ctrlProps/ctrlProp19.xml><?xml version="1.0" encoding="utf-8"?>
<formControlPr xmlns="http://schemas.microsoft.com/office/spreadsheetml/2009/9/main" objectType="Radio" checked="Checked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GBox"/>
</file>

<file path=xl/ctrlProps/ctrlProp22.xml><?xml version="1.0" encoding="utf-8"?>
<formControlPr xmlns="http://schemas.microsoft.com/office/spreadsheetml/2009/9/main" objectType="Radio" firstButton="1" fmlaLink="$AA$5" lockText="1" noThreeD="1"/>
</file>

<file path=xl/ctrlProps/ctrlProp23.xml><?xml version="1.0" encoding="utf-8"?>
<formControlPr xmlns="http://schemas.microsoft.com/office/spreadsheetml/2009/9/main" objectType="Radio" checked="Checked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Radio" firstButton="1" fmlaLink="$AA$5" lockText="1" noThreeD="1"/>
</file>

<file path=xl/ctrlProps/ctrlProp27.xml><?xml version="1.0" encoding="utf-8"?>
<formControlPr xmlns="http://schemas.microsoft.com/office/spreadsheetml/2009/9/main" objectType="Radio" checked="Checked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GBox"/>
</file>

<file path=xl/ctrlProps/ctrlProp30.xml><?xml version="1.0" encoding="utf-8"?>
<formControlPr xmlns="http://schemas.microsoft.com/office/spreadsheetml/2009/9/main" objectType="Radio" firstButton="1" fmlaLink="$AA$5" lockText="1" noThreeD="1"/>
</file>

<file path=xl/ctrlProps/ctrlProp31.xml><?xml version="1.0" encoding="utf-8"?>
<formControlPr xmlns="http://schemas.microsoft.com/office/spreadsheetml/2009/9/main" objectType="Radio" checked="Checked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GBox"/>
</file>

<file path=xl/ctrlProps/ctrlProp34.xml><?xml version="1.0" encoding="utf-8"?>
<formControlPr xmlns="http://schemas.microsoft.com/office/spreadsheetml/2009/9/main" objectType="Radio" firstButton="1" fmlaLink="$AA$5" lockText="1" noThreeD="1"/>
</file>

<file path=xl/ctrlProps/ctrlProp35.xml><?xml version="1.0" encoding="utf-8"?>
<formControlPr xmlns="http://schemas.microsoft.com/office/spreadsheetml/2009/9/main" objectType="Radio" checked="Checked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GBox"/>
</file>

<file path=xl/ctrlProps/ctrlProp38.xml><?xml version="1.0" encoding="utf-8"?>
<formControlPr xmlns="http://schemas.microsoft.com/office/spreadsheetml/2009/9/main" objectType="Radio" firstButton="1" fmlaLink="$AA$5" lockText="1" noThreeD="1"/>
</file>

<file path=xl/ctrlProps/ctrlProp39.xml><?xml version="1.0" encoding="utf-8"?>
<formControlPr xmlns="http://schemas.microsoft.com/office/spreadsheetml/2009/9/main" objectType="Radio" checked="Checked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2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'1'!A1"/><Relationship Id="rId1" Type="http://schemas.openxmlformats.org/officeDocument/2006/relationships/hyperlink" Target="#'3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'2'!A1"/><Relationship Id="rId1" Type="http://schemas.openxmlformats.org/officeDocument/2006/relationships/hyperlink" Target="#'4'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'3'!A1"/><Relationship Id="rId1" Type="http://schemas.openxmlformats.org/officeDocument/2006/relationships/hyperlink" Target="#'5'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4'!A1"/><Relationship Id="rId1" Type="http://schemas.openxmlformats.org/officeDocument/2006/relationships/hyperlink" Target="#'6'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'5'!A1"/><Relationship Id="rId1" Type="http://schemas.openxmlformats.org/officeDocument/2006/relationships/hyperlink" Target="#'7'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'6'!A1"/><Relationship Id="rId1" Type="http://schemas.openxmlformats.org/officeDocument/2006/relationships/hyperlink" Target="#'8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'7'!A1"/><Relationship Id="rId1" Type="http://schemas.openxmlformats.org/officeDocument/2006/relationships/hyperlink" Target="#'9'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8'!A1"/><Relationship Id="rId1" Type="http://schemas.openxmlformats.org/officeDocument/2006/relationships/hyperlink" Target="#'10'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9'!A1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35</xdr:col>
      <xdr:colOff>285916</xdr:colOff>
      <xdr:row>13</xdr:row>
      <xdr:rowOff>28575</xdr:rowOff>
    </xdr:to>
    <xdr:grpSp>
      <xdr:nvGrpSpPr>
        <xdr:cNvPr id="2" name="Группа 44"/>
        <xdr:cNvGrpSpPr/>
      </xdr:nvGrpSpPr>
      <xdr:grpSpPr>
        <a:xfrm>
          <a:off x="1143000" y="1524000"/>
          <a:ext cx="12477916" cy="3457575"/>
          <a:chOff x="2828759" y="2314575"/>
          <a:chExt cx="12477916" cy="3457575"/>
        </a:xfrm>
      </xdr:grpSpPr>
      <xdr:cxnSp macro="">
        <xdr:nvCxnSpPr>
          <xdr:cNvPr id="3" name="Прямая соединительная линия 46"/>
          <xdr:cNvCxnSpPr/>
        </xdr:nvCxnSpPr>
        <xdr:spPr>
          <a:xfrm>
            <a:off x="3347430" y="3397888"/>
            <a:ext cx="0" cy="2059937"/>
          </a:xfrm>
          <a:prstGeom prst="line">
            <a:avLst/>
          </a:prstGeom>
          <a:ln w="25400"/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" name="Прямая соединительная линия 48"/>
          <xdr:cNvCxnSpPr/>
        </xdr:nvCxnSpPr>
        <xdr:spPr>
          <a:xfrm flipH="1">
            <a:off x="3342778" y="4663750"/>
            <a:ext cx="267197" cy="0"/>
          </a:xfrm>
          <a:prstGeom prst="line">
            <a:avLst/>
          </a:prstGeom>
          <a:ln w="25400"/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Прямая соединительная линия 49"/>
          <xdr:cNvCxnSpPr/>
        </xdr:nvCxnSpPr>
        <xdr:spPr>
          <a:xfrm flipH="1">
            <a:off x="3339311" y="3830544"/>
            <a:ext cx="327814" cy="0"/>
          </a:xfrm>
          <a:prstGeom prst="line">
            <a:avLst/>
          </a:prstGeom>
          <a:ln w="25400"/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Прямая соединительная линия 51"/>
          <xdr:cNvCxnSpPr/>
        </xdr:nvCxnSpPr>
        <xdr:spPr>
          <a:xfrm flipH="1">
            <a:off x="3355398" y="5452630"/>
            <a:ext cx="332509" cy="1"/>
          </a:xfrm>
          <a:prstGeom prst="line">
            <a:avLst/>
          </a:prstGeom>
          <a:ln w="25400"/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" name="Скругленный прямоугольник 52"/>
          <xdr:cNvSpPr/>
        </xdr:nvSpPr>
        <xdr:spPr>
          <a:xfrm>
            <a:off x="3146599" y="2567406"/>
            <a:ext cx="12160076" cy="822355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800" b="1"/>
              <a:t>Как ты чувствуешь себя в гимназии?</a:t>
            </a:r>
          </a:p>
        </xdr:txBody>
      </xdr:sp>
      <xdr:sp macro="" textlink="">
        <xdr:nvSpPr>
          <xdr:cNvPr id="8" name="Скругленный прямоугольник 53"/>
          <xdr:cNvSpPr/>
        </xdr:nvSpPr>
        <xdr:spPr>
          <a:xfrm>
            <a:off x="3481200" y="3552825"/>
            <a:ext cx="11530199" cy="505608"/>
          </a:xfrm>
          <a:prstGeom prst="roundRect">
            <a:avLst>
              <a:gd name="adj" fmla="val 50000"/>
            </a:avLst>
          </a:prstGeom>
          <a:solidFill>
            <a:srgbClr val="78AADC"/>
          </a:solidFill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/>
              <a:t>мне в гимназии нравится </a:t>
            </a:r>
          </a:p>
        </xdr:txBody>
      </xdr:sp>
      <xdr:sp macro="" textlink="">
        <xdr:nvSpPr>
          <xdr:cNvPr id="9" name="Скругленный прямоугольник 54"/>
          <xdr:cNvSpPr/>
        </xdr:nvSpPr>
        <xdr:spPr>
          <a:xfrm>
            <a:off x="3482577" y="4388413"/>
            <a:ext cx="11509773" cy="506569"/>
          </a:xfrm>
          <a:prstGeom prst="roundRect">
            <a:avLst>
              <a:gd name="adj" fmla="val 50000"/>
            </a:avLst>
          </a:prstGeom>
          <a:solidFill>
            <a:srgbClr val="78AADC"/>
          </a:solidFill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/>
              <a:t>мне в гимназии не очень нравится</a:t>
            </a:r>
          </a:p>
        </xdr:txBody>
      </xdr:sp>
      <xdr:sp macro="" textlink="">
        <xdr:nvSpPr>
          <xdr:cNvPr id="10" name="Скругленный прямоугольник 55"/>
          <xdr:cNvSpPr/>
        </xdr:nvSpPr>
        <xdr:spPr>
          <a:xfrm>
            <a:off x="3463770" y="5195156"/>
            <a:ext cx="11538105" cy="505608"/>
          </a:xfrm>
          <a:prstGeom prst="roundRect">
            <a:avLst>
              <a:gd name="adj" fmla="val 50000"/>
            </a:avLst>
          </a:prstGeom>
          <a:solidFill>
            <a:srgbClr val="78AADC"/>
          </a:solidFill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/>
              <a:t>мне в гимназии не нравится</a:t>
            </a:r>
          </a:p>
        </xdr:txBody>
      </xdr:sp>
      <xdr:sp macro="" textlink="">
        <xdr:nvSpPr>
          <xdr:cNvPr id="11" name="Овал 56"/>
          <xdr:cNvSpPr/>
        </xdr:nvSpPr>
        <xdr:spPr>
          <a:xfrm>
            <a:off x="2828759" y="2314575"/>
            <a:ext cx="599567" cy="590550"/>
          </a:xfrm>
          <a:prstGeom prst="ellipse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="1">
                <a:solidFill>
                  <a:schemeClr val="accent1">
                    <a:lumMod val="75000"/>
                  </a:schemeClr>
                </a:solidFill>
              </a:rPr>
              <a:t>1</a:t>
            </a:r>
            <a:endParaRPr lang="ru-RU" sz="2800" b="1">
              <a:solidFill>
                <a:schemeClr val="accent1">
                  <a:lumMod val="75000"/>
                </a:schemeClr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3" name="Group Box 1" hidden="1">
                <a:extLst>
                  <a:ext uri="{63B3BB69-23CF-44E3-9099-C40C66FF867C}">
                    <a14:compatExt spid="_x0000_s8193"/>
                  </a:ext>
                </a:extLst>
              </xdr:cNvPr>
              <xdr:cNvSpPr/>
            </xdr:nvSpPr>
            <xdr:spPr bwMode="auto">
              <a:xfrm>
                <a:off x="3419475" y="3514725"/>
                <a:ext cx="11630025" cy="22574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4" name="Option Button 2" hidden="1">
                <a:extLst>
                  <a:ext uri="{63B3BB69-23CF-44E3-9099-C40C66FF867C}">
                    <a14:compatExt spid="_x0000_s8194"/>
                  </a:ext>
                </a:extLst>
              </xdr:cNvPr>
              <xdr:cNvSpPr/>
            </xdr:nvSpPr>
            <xdr:spPr bwMode="auto">
              <a:xfrm>
                <a:off x="3552825" y="3648075"/>
                <a:ext cx="11315700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5" name="Option Button 3" descr="мне в школе не очень нравится;" hidden="1">
                <a:extLst>
                  <a:ext uri="{63B3BB69-23CF-44E3-9099-C40C66FF867C}">
                    <a14:compatExt spid="_x0000_s8195"/>
                  </a:ext>
                </a:extLst>
              </xdr:cNvPr>
              <xdr:cNvSpPr/>
            </xdr:nvSpPr>
            <xdr:spPr bwMode="auto">
              <a:xfrm>
                <a:off x="3552825" y="4486275"/>
                <a:ext cx="11258550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6" name="Option Button 4" descr="мне в школе не очень нравится;" hidden="1">
                <a:extLst>
                  <a:ext uri="{63B3BB69-23CF-44E3-9099-C40C66FF867C}">
                    <a14:compatExt spid="_x0000_s8196"/>
                  </a:ext>
                </a:extLst>
              </xdr:cNvPr>
              <xdr:cNvSpPr/>
            </xdr:nvSpPr>
            <xdr:spPr bwMode="auto">
              <a:xfrm>
                <a:off x="3552825" y="5276850"/>
                <a:ext cx="11268075" cy="3619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32</xdr:col>
      <xdr:colOff>0</xdr:colOff>
      <xdr:row>14</xdr:row>
      <xdr:rowOff>0</xdr:rowOff>
    </xdr:from>
    <xdr:to>
      <xdr:col>36</xdr:col>
      <xdr:colOff>361950</xdr:colOff>
      <xdr:row>16</xdr:row>
      <xdr:rowOff>1</xdr:rowOff>
    </xdr:to>
    <xdr:sp macro="" textlink="">
      <xdr:nvSpPr>
        <xdr:cNvPr id="16" name="Пятиугольник 17">
          <a:hlinkClick xmlns:r="http://schemas.openxmlformats.org/officeDocument/2006/relationships" r:id="rId1"/>
        </xdr:cNvPr>
        <xdr:cNvSpPr/>
      </xdr:nvSpPr>
      <xdr:spPr>
        <a:xfrm>
          <a:off x="12192000" y="5334000"/>
          <a:ext cx="1885950" cy="762001"/>
        </a:xfrm>
        <a:prstGeom prst="homePlat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ru-RU" sz="1400" i="0"/>
            <a:t>Следующий вопрос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380834</xdr:colOff>
      <xdr:row>4</xdr:row>
      <xdr:rowOff>0</xdr:rowOff>
    </xdr:from>
    <xdr:to>
      <xdr:col>35</xdr:col>
      <xdr:colOff>285750</xdr:colOff>
      <xdr:row>13</xdr:row>
      <xdr:rowOff>38100</xdr:rowOff>
    </xdr:to>
    <xdr:grpSp>
      <xdr:nvGrpSpPr>
        <xdr:cNvPr id="2" name="Группа 11"/>
        <xdr:cNvGrpSpPr/>
      </xdr:nvGrpSpPr>
      <xdr:grpSpPr>
        <a:xfrm>
          <a:off x="1142834" y="1524000"/>
          <a:ext cx="12477916" cy="3467100"/>
          <a:chOff x="2476334" y="1695450"/>
          <a:chExt cx="12477916" cy="3467100"/>
        </a:xfrm>
      </xdr:grpSpPr>
      <xdr:cxnSp macro="">
        <xdr:nvCxnSpPr>
          <xdr:cNvPr id="3" name="Прямая соединительная линия 1"/>
          <xdr:cNvCxnSpPr/>
        </xdr:nvCxnSpPr>
        <xdr:spPr>
          <a:xfrm>
            <a:off x="2995005" y="2778763"/>
            <a:ext cx="0" cy="2059937"/>
          </a:xfrm>
          <a:prstGeom prst="line">
            <a:avLst/>
          </a:prstGeom>
          <a:ln w="25400"/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" name="Прямая соединительная линия 2"/>
          <xdr:cNvCxnSpPr/>
        </xdr:nvCxnSpPr>
        <xdr:spPr>
          <a:xfrm flipH="1">
            <a:off x="2990353" y="4044625"/>
            <a:ext cx="267197" cy="0"/>
          </a:xfrm>
          <a:prstGeom prst="line">
            <a:avLst/>
          </a:prstGeom>
          <a:ln w="25400"/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Прямая соединительная линия 3"/>
          <xdr:cNvCxnSpPr/>
        </xdr:nvCxnSpPr>
        <xdr:spPr>
          <a:xfrm flipH="1">
            <a:off x="2986886" y="3211419"/>
            <a:ext cx="327814" cy="0"/>
          </a:xfrm>
          <a:prstGeom prst="line">
            <a:avLst/>
          </a:prstGeom>
          <a:ln w="25400"/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Прямая соединительная линия 4"/>
          <xdr:cNvCxnSpPr/>
        </xdr:nvCxnSpPr>
        <xdr:spPr>
          <a:xfrm flipH="1">
            <a:off x="3002973" y="4833505"/>
            <a:ext cx="332509" cy="1"/>
          </a:xfrm>
          <a:prstGeom prst="line">
            <a:avLst/>
          </a:prstGeom>
          <a:ln w="25400"/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" name="Скругленный прямоугольник 5"/>
          <xdr:cNvSpPr/>
        </xdr:nvSpPr>
        <xdr:spPr>
          <a:xfrm>
            <a:off x="2794174" y="1948281"/>
            <a:ext cx="12160076" cy="822355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800" b="0" i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С каким настроением ты идешь утром в гимназию?</a:t>
            </a:r>
            <a:endParaRPr lang="ru-RU" sz="2800" b="1"/>
          </a:p>
        </xdr:txBody>
      </xdr:sp>
      <xdr:sp macro="" textlink="">
        <xdr:nvSpPr>
          <xdr:cNvPr id="8" name="Скругленный прямоугольник 6"/>
          <xdr:cNvSpPr/>
        </xdr:nvSpPr>
        <xdr:spPr>
          <a:xfrm>
            <a:off x="3128775" y="2933700"/>
            <a:ext cx="11530199" cy="505608"/>
          </a:xfrm>
          <a:prstGeom prst="roundRect">
            <a:avLst>
              <a:gd name="adj" fmla="val 50000"/>
            </a:avLst>
          </a:prstGeom>
          <a:solidFill>
            <a:srgbClr val="78AADC"/>
          </a:solidFill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 b="0" i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с хорошим настроением</a:t>
            </a:r>
            <a:endParaRPr lang="ru-RU" sz="4800"/>
          </a:p>
        </xdr:txBody>
      </xdr:sp>
      <xdr:sp macro="" textlink="">
        <xdr:nvSpPr>
          <xdr:cNvPr id="9" name="Скругленный прямоугольник 7"/>
          <xdr:cNvSpPr/>
        </xdr:nvSpPr>
        <xdr:spPr>
          <a:xfrm>
            <a:off x="3130152" y="3769288"/>
            <a:ext cx="11509773" cy="506569"/>
          </a:xfrm>
          <a:prstGeom prst="roundRect">
            <a:avLst>
              <a:gd name="adj" fmla="val 50000"/>
            </a:avLst>
          </a:prstGeom>
          <a:solidFill>
            <a:srgbClr val="78AADC"/>
          </a:solidFill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 b="0" i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бывает по-разному</a:t>
            </a:r>
            <a:endParaRPr lang="ru-RU" sz="4800"/>
          </a:p>
        </xdr:txBody>
      </xdr:sp>
      <xdr:sp macro="" textlink="">
        <xdr:nvSpPr>
          <xdr:cNvPr id="10" name="Скругленный прямоугольник 8"/>
          <xdr:cNvSpPr/>
        </xdr:nvSpPr>
        <xdr:spPr>
          <a:xfrm>
            <a:off x="3111345" y="4576031"/>
            <a:ext cx="11538105" cy="505608"/>
          </a:xfrm>
          <a:prstGeom prst="roundRect">
            <a:avLst>
              <a:gd name="adj" fmla="val 50000"/>
            </a:avLst>
          </a:prstGeom>
          <a:solidFill>
            <a:srgbClr val="78AADC"/>
          </a:solidFill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 b="0" i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чаще хочется остаться дома</a:t>
            </a:r>
            <a:endParaRPr lang="ru-RU" sz="4800"/>
          </a:p>
        </xdr:txBody>
      </xdr:sp>
      <xdr:sp macro="" textlink="">
        <xdr:nvSpPr>
          <xdr:cNvPr id="11" name="Овал 9"/>
          <xdr:cNvSpPr/>
        </xdr:nvSpPr>
        <xdr:spPr>
          <a:xfrm>
            <a:off x="2476334" y="1695450"/>
            <a:ext cx="599567" cy="590550"/>
          </a:xfrm>
          <a:prstGeom prst="ellipse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800" b="1">
                <a:solidFill>
                  <a:schemeClr val="accent1">
                    <a:lumMod val="75000"/>
                  </a:schemeClr>
                </a:solidFill>
              </a:rPr>
              <a:t>2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7" name="Group Box 1" hidden="1">
                <a:extLst>
                  <a:ext uri="{63B3BB69-23CF-44E3-9099-C40C66FF867C}">
                    <a14:compatExt spid="_x0000_s9217"/>
                  </a:ext>
                </a:extLst>
              </xdr:cNvPr>
              <xdr:cNvSpPr/>
            </xdr:nvSpPr>
            <xdr:spPr bwMode="auto">
              <a:xfrm>
                <a:off x="3048000" y="2895600"/>
                <a:ext cx="11630025" cy="2266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Option Button 2" hidden="1">
                <a:extLst>
                  <a:ext uri="{63B3BB69-23CF-44E3-9099-C40C66FF867C}">
                    <a14:compatExt spid="_x0000_s9218"/>
                  </a:ext>
                </a:extLst>
              </xdr:cNvPr>
              <xdr:cNvSpPr/>
            </xdr:nvSpPr>
            <xdr:spPr bwMode="auto">
              <a:xfrm>
                <a:off x="3181350" y="3028950"/>
                <a:ext cx="11315700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9" name="Option Button 3" descr="мне в школе не очень нравится;" hidden="1">
                <a:extLst>
                  <a:ext uri="{63B3BB69-23CF-44E3-9099-C40C66FF867C}">
                    <a14:compatExt spid="_x0000_s9219"/>
                  </a:ext>
                </a:extLst>
              </xdr:cNvPr>
              <xdr:cNvSpPr/>
            </xdr:nvSpPr>
            <xdr:spPr bwMode="auto">
              <a:xfrm>
                <a:off x="3181350" y="3867150"/>
                <a:ext cx="11258550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0" name="Option Button 4" descr="мне в школе не очень нравится;" hidden="1">
                <a:extLst>
                  <a:ext uri="{63B3BB69-23CF-44E3-9099-C40C66FF867C}">
                    <a14:compatExt spid="_x0000_s9220"/>
                  </a:ext>
                </a:extLst>
              </xdr:cNvPr>
              <xdr:cNvSpPr/>
            </xdr:nvSpPr>
            <xdr:spPr bwMode="auto">
              <a:xfrm>
                <a:off x="3181350" y="4657725"/>
                <a:ext cx="11268075" cy="3619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32</xdr:col>
      <xdr:colOff>0</xdr:colOff>
      <xdr:row>14</xdr:row>
      <xdr:rowOff>0</xdr:rowOff>
    </xdr:from>
    <xdr:to>
      <xdr:col>36</xdr:col>
      <xdr:colOff>361950</xdr:colOff>
      <xdr:row>16</xdr:row>
      <xdr:rowOff>1</xdr:rowOff>
    </xdr:to>
    <xdr:sp macro="" textlink="">
      <xdr:nvSpPr>
        <xdr:cNvPr id="16" name="Пятиугольник 17">
          <a:hlinkClick xmlns:r="http://schemas.openxmlformats.org/officeDocument/2006/relationships" r:id="rId1"/>
        </xdr:cNvPr>
        <xdr:cNvSpPr/>
      </xdr:nvSpPr>
      <xdr:spPr>
        <a:xfrm>
          <a:off x="12192000" y="5334000"/>
          <a:ext cx="1885950" cy="762001"/>
        </a:xfrm>
        <a:prstGeom prst="homePlat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ru-RU" sz="1400" i="0"/>
            <a:t>Следующий вопрос</a:t>
          </a:r>
        </a:p>
      </xdr:txBody>
    </xdr:sp>
    <xdr:clientData/>
  </xdr:twoCellAnchor>
  <xdr:twoCellAnchor>
    <xdr:from>
      <xdr:col>2</xdr:col>
      <xdr:colOff>0</xdr:colOff>
      <xdr:row>14</xdr:row>
      <xdr:rowOff>0</xdr:rowOff>
    </xdr:from>
    <xdr:to>
      <xdr:col>7</xdr:col>
      <xdr:colOff>19050</xdr:colOff>
      <xdr:row>16</xdr:row>
      <xdr:rowOff>1</xdr:rowOff>
    </xdr:to>
    <xdr:sp macro="" textlink="">
      <xdr:nvSpPr>
        <xdr:cNvPr id="17" name="Пятиугольник 21">
          <a:hlinkClick xmlns:r="http://schemas.openxmlformats.org/officeDocument/2006/relationships" r:id="rId2"/>
        </xdr:cNvPr>
        <xdr:cNvSpPr/>
      </xdr:nvSpPr>
      <xdr:spPr>
        <a:xfrm flipH="1">
          <a:off x="762000" y="5334000"/>
          <a:ext cx="1924050" cy="762001"/>
        </a:xfrm>
        <a:prstGeom prst="homePlat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ru-RU" sz="1400" i="0"/>
            <a:t>Предыдущий вопрос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380834</xdr:colOff>
      <xdr:row>4</xdr:row>
      <xdr:rowOff>0</xdr:rowOff>
    </xdr:from>
    <xdr:to>
      <xdr:col>35</xdr:col>
      <xdr:colOff>285750</xdr:colOff>
      <xdr:row>13</xdr:row>
      <xdr:rowOff>38100</xdr:rowOff>
    </xdr:to>
    <xdr:grpSp>
      <xdr:nvGrpSpPr>
        <xdr:cNvPr id="2" name="Группа 11"/>
        <xdr:cNvGrpSpPr/>
      </xdr:nvGrpSpPr>
      <xdr:grpSpPr>
        <a:xfrm>
          <a:off x="1142834" y="1524000"/>
          <a:ext cx="12477916" cy="3467100"/>
          <a:chOff x="2476334" y="1695450"/>
          <a:chExt cx="12477916" cy="3467100"/>
        </a:xfrm>
      </xdr:grpSpPr>
      <xdr:cxnSp macro="">
        <xdr:nvCxnSpPr>
          <xdr:cNvPr id="3" name="Прямая соединительная линия 1"/>
          <xdr:cNvCxnSpPr/>
        </xdr:nvCxnSpPr>
        <xdr:spPr>
          <a:xfrm>
            <a:off x="2995005" y="2778763"/>
            <a:ext cx="0" cy="2059937"/>
          </a:xfrm>
          <a:prstGeom prst="line">
            <a:avLst/>
          </a:prstGeom>
          <a:ln w="25400"/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" name="Прямая соединительная линия 2"/>
          <xdr:cNvCxnSpPr/>
        </xdr:nvCxnSpPr>
        <xdr:spPr>
          <a:xfrm flipH="1">
            <a:off x="2990353" y="4044625"/>
            <a:ext cx="267197" cy="0"/>
          </a:xfrm>
          <a:prstGeom prst="line">
            <a:avLst/>
          </a:prstGeom>
          <a:ln w="25400"/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Прямая соединительная линия 3"/>
          <xdr:cNvCxnSpPr/>
        </xdr:nvCxnSpPr>
        <xdr:spPr>
          <a:xfrm flipH="1">
            <a:off x="2986886" y="3211419"/>
            <a:ext cx="327814" cy="0"/>
          </a:xfrm>
          <a:prstGeom prst="line">
            <a:avLst/>
          </a:prstGeom>
          <a:ln w="25400"/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Прямая соединительная линия 4"/>
          <xdr:cNvCxnSpPr/>
        </xdr:nvCxnSpPr>
        <xdr:spPr>
          <a:xfrm flipH="1">
            <a:off x="3002973" y="4833505"/>
            <a:ext cx="332509" cy="1"/>
          </a:xfrm>
          <a:prstGeom prst="line">
            <a:avLst/>
          </a:prstGeom>
          <a:ln w="25400"/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" name="Скругленный прямоугольник 5"/>
          <xdr:cNvSpPr/>
        </xdr:nvSpPr>
        <xdr:spPr>
          <a:xfrm>
            <a:off x="2794174" y="1948281"/>
            <a:ext cx="12160076" cy="822355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 b="0" i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Если завтра в гимназию не обязательно будет приходить всем ученикам</a:t>
            </a:r>
            <a:r>
              <a:rPr lang="ru-RU" sz="2000" b="0" i="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-</a:t>
            </a:r>
            <a:r>
              <a:rPr lang="ru-RU" sz="2000" b="0" i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как ты поступишь?</a:t>
            </a:r>
            <a:endParaRPr lang="ru-RU" sz="4800" b="1"/>
          </a:p>
        </xdr:txBody>
      </xdr:sp>
      <xdr:sp macro="" textlink="">
        <xdr:nvSpPr>
          <xdr:cNvPr id="8" name="Скругленный прямоугольник 6"/>
          <xdr:cNvSpPr/>
        </xdr:nvSpPr>
        <xdr:spPr>
          <a:xfrm>
            <a:off x="3128775" y="2933700"/>
            <a:ext cx="11530199" cy="505608"/>
          </a:xfrm>
          <a:prstGeom prst="roundRect">
            <a:avLst>
              <a:gd name="adj" fmla="val 50000"/>
            </a:avLst>
          </a:prstGeom>
          <a:solidFill>
            <a:srgbClr val="78AADC"/>
          </a:solidFill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 b="0" i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пойду</a:t>
            </a:r>
            <a:r>
              <a:rPr lang="ru-RU" sz="2400" b="0" i="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в гимназию</a:t>
            </a:r>
          </a:p>
        </xdr:txBody>
      </xdr:sp>
      <xdr:sp macro="" textlink="">
        <xdr:nvSpPr>
          <xdr:cNvPr id="9" name="Скругленный прямоугольник 7"/>
          <xdr:cNvSpPr/>
        </xdr:nvSpPr>
        <xdr:spPr>
          <a:xfrm>
            <a:off x="3130152" y="3769288"/>
            <a:ext cx="11509773" cy="506569"/>
          </a:xfrm>
          <a:prstGeom prst="roundRect">
            <a:avLst>
              <a:gd name="adj" fmla="val 50000"/>
            </a:avLst>
          </a:prstGeom>
          <a:solidFill>
            <a:srgbClr val="78AADC"/>
          </a:solidFill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 b="0" i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не знаю</a:t>
            </a:r>
            <a:endParaRPr lang="ru-RU" sz="4800"/>
          </a:p>
        </xdr:txBody>
      </xdr:sp>
      <xdr:sp macro="" textlink="">
        <xdr:nvSpPr>
          <xdr:cNvPr id="10" name="Скругленный прямоугольник 8"/>
          <xdr:cNvSpPr/>
        </xdr:nvSpPr>
        <xdr:spPr>
          <a:xfrm>
            <a:off x="3111345" y="4576031"/>
            <a:ext cx="11538105" cy="505608"/>
          </a:xfrm>
          <a:prstGeom prst="roundRect">
            <a:avLst>
              <a:gd name="adj" fmla="val 50000"/>
            </a:avLst>
          </a:prstGeom>
          <a:solidFill>
            <a:srgbClr val="78AADC"/>
          </a:solidFill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 b="0" i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останусь дома</a:t>
            </a:r>
            <a:endParaRPr lang="ru-RU" sz="4800"/>
          </a:p>
        </xdr:txBody>
      </xdr:sp>
      <xdr:sp macro="" textlink="">
        <xdr:nvSpPr>
          <xdr:cNvPr id="11" name="Овал 9"/>
          <xdr:cNvSpPr/>
        </xdr:nvSpPr>
        <xdr:spPr>
          <a:xfrm>
            <a:off x="2476334" y="1695450"/>
            <a:ext cx="599567" cy="590550"/>
          </a:xfrm>
          <a:prstGeom prst="ellipse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800" b="1">
                <a:solidFill>
                  <a:schemeClr val="accent1">
                    <a:lumMod val="75000"/>
                  </a:schemeClr>
                </a:solidFill>
              </a:rPr>
              <a:t>3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1" name="Group Box 1" hidden="1">
                <a:extLst>
                  <a:ext uri="{63B3BB69-23CF-44E3-9099-C40C66FF867C}">
                    <a14:compatExt spid="_x0000_s10241"/>
                  </a:ext>
                </a:extLst>
              </xdr:cNvPr>
              <xdr:cNvSpPr/>
            </xdr:nvSpPr>
            <xdr:spPr bwMode="auto">
              <a:xfrm>
                <a:off x="3048000" y="2895600"/>
                <a:ext cx="11630025" cy="2266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2" name="Option Button 2" hidden="1">
                <a:extLst>
                  <a:ext uri="{63B3BB69-23CF-44E3-9099-C40C66FF867C}">
                    <a14:compatExt spid="_x0000_s10242"/>
                  </a:ext>
                </a:extLst>
              </xdr:cNvPr>
              <xdr:cNvSpPr/>
            </xdr:nvSpPr>
            <xdr:spPr bwMode="auto">
              <a:xfrm>
                <a:off x="3181350" y="3028950"/>
                <a:ext cx="11315700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3" name="Option Button 3" descr="мне в школе не очень нравится;" hidden="1">
                <a:extLst>
                  <a:ext uri="{63B3BB69-23CF-44E3-9099-C40C66FF867C}">
                    <a14:compatExt spid="_x0000_s10243"/>
                  </a:ext>
                </a:extLst>
              </xdr:cNvPr>
              <xdr:cNvSpPr/>
            </xdr:nvSpPr>
            <xdr:spPr bwMode="auto">
              <a:xfrm>
                <a:off x="3181350" y="3867150"/>
                <a:ext cx="11258550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4" name="Option Button 4" hidden="1">
                <a:extLst>
                  <a:ext uri="{63B3BB69-23CF-44E3-9099-C40C66FF867C}">
                    <a14:compatExt spid="_x0000_s10244"/>
                  </a:ext>
                </a:extLst>
              </xdr:cNvPr>
              <xdr:cNvSpPr/>
            </xdr:nvSpPr>
            <xdr:spPr bwMode="auto">
              <a:xfrm>
                <a:off x="3181350" y="4657725"/>
                <a:ext cx="11268075" cy="3619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32</xdr:col>
      <xdr:colOff>0</xdr:colOff>
      <xdr:row>14</xdr:row>
      <xdr:rowOff>0</xdr:rowOff>
    </xdr:from>
    <xdr:to>
      <xdr:col>36</xdr:col>
      <xdr:colOff>361950</xdr:colOff>
      <xdr:row>16</xdr:row>
      <xdr:rowOff>1</xdr:rowOff>
    </xdr:to>
    <xdr:sp macro="" textlink="">
      <xdr:nvSpPr>
        <xdr:cNvPr id="16" name="Пятиугольник 17">
          <a:hlinkClick xmlns:r="http://schemas.openxmlformats.org/officeDocument/2006/relationships" r:id="rId1"/>
        </xdr:cNvPr>
        <xdr:cNvSpPr/>
      </xdr:nvSpPr>
      <xdr:spPr>
        <a:xfrm>
          <a:off x="12192000" y="5334000"/>
          <a:ext cx="1885950" cy="762001"/>
        </a:xfrm>
        <a:prstGeom prst="homePlat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ru-RU" sz="1400" i="0"/>
            <a:t>Следующий вопрос</a:t>
          </a:r>
        </a:p>
      </xdr:txBody>
    </xdr:sp>
    <xdr:clientData/>
  </xdr:twoCellAnchor>
  <xdr:twoCellAnchor>
    <xdr:from>
      <xdr:col>2</xdr:col>
      <xdr:colOff>0</xdr:colOff>
      <xdr:row>14</xdr:row>
      <xdr:rowOff>0</xdr:rowOff>
    </xdr:from>
    <xdr:to>
      <xdr:col>7</xdr:col>
      <xdr:colOff>19050</xdr:colOff>
      <xdr:row>16</xdr:row>
      <xdr:rowOff>1</xdr:rowOff>
    </xdr:to>
    <xdr:sp macro="" textlink="">
      <xdr:nvSpPr>
        <xdr:cNvPr id="17" name="Пятиугольник 18">
          <a:hlinkClick xmlns:r="http://schemas.openxmlformats.org/officeDocument/2006/relationships" r:id="rId2"/>
        </xdr:cNvPr>
        <xdr:cNvSpPr/>
      </xdr:nvSpPr>
      <xdr:spPr>
        <a:xfrm flipH="1">
          <a:off x="762000" y="5334000"/>
          <a:ext cx="1924050" cy="762001"/>
        </a:xfrm>
        <a:prstGeom prst="homePlat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ru-RU" sz="1400" i="0"/>
            <a:t>Предыдущий вопрос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380834</xdr:colOff>
      <xdr:row>4</xdr:row>
      <xdr:rowOff>0</xdr:rowOff>
    </xdr:from>
    <xdr:to>
      <xdr:col>35</xdr:col>
      <xdr:colOff>285750</xdr:colOff>
      <xdr:row>13</xdr:row>
      <xdr:rowOff>38100</xdr:rowOff>
    </xdr:to>
    <xdr:grpSp>
      <xdr:nvGrpSpPr>
        <xdr:cNvPr id="2" name="Группа 12"/>
        <xdr:cNvGrpSpPr/>
      </xdr:nvGrpSpPr>
      <xdr:grpSpPr>
        <a:xfrm>
          <a:off x="1142834" y="1524000"/>
          <a:ext cx="12477916" cy="3467100"/>
          <a:chOff x="2476334" y="1695450"/>
          <a:chExt cx="12477916" cy="3467100"/>
        </a:xfrm>
      </xdr:grpSpPr>
      <xdr:cxnSp macro="">
        <xdr:nvCxnSpPr>
          <xdr:cNvPr id="3" name="Прямая соединительная линия 1"/>
          <xdr:cNvCxnSpPr/>
        </xdr:nvCxnSpPr>
        <xdr:spPr>
          <a:xfrm>
            <a:off x="2995005" y="2778763"/>
            <a:ext cx="0" cy="2059937"/>
          </a:xfrm>
          <a:prstGeom prst="line">
            <a:avLst/>
          </a:prstGeom>
          <a:ln w="25400"/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" name="Прямая соединительная линия 2"/>
          <xdr:cNvCxnSpPr/>
        </xdr:nvCxnSpPr>
        <xdr:spPr>
          <a:xfrm flipH="1">
            <a:off x="2990353" y="4044625"/>
            <a:ext cx="267197" cy="0"/>
          </a:xfrm>
          <a:prstGeom prst="line">
            <a:avLst/>
          </a:prstGeom>
          <a:ln w="25400"/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Прямая соединительная линия 3"/>
          <xdr:cNvCxnSpPr/>
        </xdr:nvCxnSpPr>
        <xdr:spPr>
          <a:xfrm flipH="1">
            <a:off x="2986886" y="3211419"/>
            <a:ext cx="327814" cy="0"/>
          </a:xfrm>
          <a:prstGeom prst="line">
            <a:avLst/>
          </a:prstGeom>
          <a:ln w="25400"/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Прямая соединительная линия 4"/>
          <xdr:cNvCxnSpPr/>
        </xdr:nvCxnSpPr>
        <xdr:spPr>
          <a:xfrm flipH="1">
            <a:off x="3002973" y="4833505"/>
            <a:ext cx="332509" cy="1"/>
          </a:xfrm>
          <a:prstGeom prst="line">
            <a:avLst/>
          </a:prstGeom>
          <a:ln w="25400"/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" name="Скругленный прямоугольник 5"/>
          <xdr:cNvSpPr/>
        </xdr:nvSpPr>
        <xdr:spPr>
          <a:xfrm>
            <a:off x="2794174" y="1948281"/>
            <a:ext cx="12160076" cy="822355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800" b="0" i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Как ты относишься к тому, что у вас отменяют уроки?</a:t>
            </a:r>
            <a:endParaRPr lang="ru-RU" sz="9600" b="1"/>
          </a:p>
        </xdr:txBody>
      </xdr:sp>
      <xdr:sp macro="" textlink="">
        <xdr:nvSpPr>
          <xdr:cNvPr id="8" name="Скругленный прямоугольник 6"/>
          <xdr:cNvSpPr/>
        </xdr:nvSpPr>
        <xdr:spPr>
          <a:xfrm>
            <a:off x="3128775" y="2933700"/>
            <a:ext cx="11530199" cy="505608"/>
          </a:xfrm>
          <a:prstGeom prst="roundRect">
            <a:avLst>
              <a:gd name="adj" fmla="val 50000"/>
            </a:avLst>
          </a:prstGeom>
          <a:solidFill>
            <a:srgbClr val="78AADC"/>
          </a:solidFill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 b="0" i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мне это не нравится</a:t>
            </a:r>
            <a:endParaRPr lang="ru-RU" sz="4800"/>
          </a:p>
        </xdr:txBody>
      </xdr:sp>
      <xdr:sp macro="" textlink="">
        <xdr:nvSpPr>
          <xdr:cNvPr id="9" name="Скругленный прямоугольник 7"/>
          <xdr:cNvSpPr/>
        </xdr:nvSpPr>
        <xdr:spPr>
          <a:xfrm>
            <a:off x="3130152" y="3769288"/>
            <a:ext cx="11509773" cy="506569"/>
          </a:xfrm>
          <a:prstGeom prst="roundRect">
            <a:avLst>
              <a:gd name="adj" fmla="val 50000"/>
            </a:avLst>
          </a:prstGeom>
          <a:solidFill>
            <a:srgbClr val="78AADC"/>
          </a:solidFill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 b="0" i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бывает по-разному</a:t>
            </a:r>
            <a:endParaRPr lang="ru-RU" sz="4800"/>
          </a:p>
        </xdr:txBody>
      </xdr:sp>
      <xdr:sp macro="" textlink="">
        <xdr:nvSpPr>
          <xdr:cNvPr id="10" name="Скругленный прямоугольник 8"/>
          <xdr:cNvSpPr/>
        </xdr:nvSpPr>
        <xdr:spPr>
          <a:xfrm>
            <a:off x="3111345" y="4576031"/>
            <a:ext cx="11538105" cy="505608"/>
          </a:xfrm>
          <a:prstGeom prst="roundRect">
            <a:avLst>
              <a:gd name="adj" fmla="val 50000"/>
            </a:avLst>
          </a:prstGeom>
          <a:solidFill>
            <a:srgbClr val="78AADC"/>
          </a:solidFill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 b="0" i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мне нравится, когда отменяют уроки</a:t>
            </a:r>
            <a:endParaRPr lang="ru-RU" sz="4800"/>
          </a:p>
        </xdr:txBody>
      </xdr:sp>
      <xdr:sp macro="" textlink="">
        <xdr:nvSpPr>
          <xdr:cNvPr id="11" name="Овал 9"/>
          <xdr:cNvSpPr/>
        </xdr:nvSpPr>
        <xdr:spPr>
          <a:xfrm>
            <a:off x="2476334" y="1695450"/>
            <a:ext cx="599567" cy="590550"/>
          </a:xfrm>
          <a:prstGeom prst="ellipse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800" b="1">
                <a:solidFill>
                  <a:schemeClr val="accent1">
                    <a:lumMod val="75000"/>
                  </a:schemeClr>
                </a:solidFill>
              </a:rPr>
              <a:t>4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5" name="Group Box 1" hidden="1">
                <a:extLst>
                  <a:ext uri="{63B3BB69-23CF-44E3-9099-C40C66FF867C}">
                    <a14:compatExt spid="_x0000_s11265"/>
                  </a:ext>
                </a:extLst>
              </xdr:cNvPr>
              <xdr:cNvSpPr/>
            </xdr:nvSpPr>
            <xdr:spPr bwMode="auto">
              <a:xfrm>
                <a:off x="3048000" y="2895600"/>
                <a:ext cx="11630025" cy="2266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6" name="Option Button 2" hidden="1">
                <a:extLst>
                  <a:ext uri="{63B3BB69-23CF-44E3-9099-C40C66FF867C}">
                    <a14:compatExt spid="_x0000_s11266"/>
                  </a:ext>
                </a:extLst>
              </xdr:cNvPr>
              <xdr:cNvSpPr/>
            </xdr:nvSpPr>
            <xdr:spPr bwMode="auto">
              <a:xfrm>
                <a:off x="3181350" y="3028950"/>
                <a:ext cx="11315700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7" name="Option Button 3" descr="мне в школе не очень нравится;" hidden="1">
                <a:extLst>
                  <a:ext uri="{63B3BB69-23CF-44E3-9099-C40C66FF867C}">
                    <a14:compatExt spid="_x0000_s11267"/>
                  </a:ext>
                </a:extLst>
              </xdr:cNvPr>
              <xdr:cNvSpPr/>
            </xdr:nvSpPr>
            <xdr:spPr bwMode="auto">
              <a:xfrm>
                <a:off x="3181350" y="3867150"/>
                <a:ext cx="11258550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8" name="Option Button 4" descr="мне в школе не очень нравится;" hidden="1">
                <a:extLst>
                  <a:ext uri="{63B3BB69-23CF-44E3-9099-C40C66FF867C}">
                    <a14:compatExt spid="_x0000_s11268"/>
                  </a:ext>
                </a:extLst>
              </xdr:cNvPr>
              <xdr:cNvSpPr/>
            </xdr:nvSpPr>
            <xdr:spPr bwMode="auto">
              <a:xfrm>
                <a:off x="3181350" y="4657725"/>
                <a:ext cx="11268075" cy="3619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32</xdr:col>
      <xdr:colOff>0</xdr:colOff>
      <xdr:row>14</xdr:row>
      <xdr:rowOff>0</xdr:rowOff>
    </xdr:from>
    <xdr:to>
      <xdr:col>36</xdr:col>
      <xdr:colOff>361950</xdr:colOff>
      <xdr:row>16</xdr:row>
      <xdr:rowOff>1</xdr:rowOff>
    </xdr:to>
    <xdr:sp macro="" textlink="">
      <xdr:nvSpPr>
        <xdr:cNvPr id="16" name="Пятиугольник 17">
          <a:hlinkClick xmlns:r="http://schemas.openxmlformats.org/officeDocument/2006/relationships" r:id="rId1"/>
        </xdr:cNvPr>
        <xdr:cNvSpPr/>
      </xdr:nvSpPr>
      <xdr:spPr>
        <a:xfrm>
          <a:off x="12192000" y="5334000"/>
          <a:ext cx="1885950" cy="762001"/>
        </a:xfrm>
        <a:prstGeom prst="homePlat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ru-RU" sz="1400" i="0"/>
            <a:t>Следующий вопрос</a:t>
          </a:r>
        </a:p>
      </xdr:txBody>
    </xdr:sp>
    <xdr:clientData/>
  </xdr:twoCellAnchor>
  <xdr:twoCellAnchor>
    <xdr:from>
      <xdr:col>2</xdr:col>
      <xdr:colOff>0</xdr:colOff>
      <xdr:row>14</xdr:row>
      <xdr:rowOff>0</xdr:rowOff>
    </xdr:from>
    <xdr:to>
      <xdr:col>7</xdr:col>
      <xdr:colOff>19050</xdr:colOff>
      <xdr:row>16</xdr:row>
      <xdr:rowOff>1</xdr:rowOff>
    </xdr:to>
    <xdr:sp macro="" textlink="">
      <xdr:nvSpPr>
        <xdr:cNvPr id="17" name="Пятиугольник 18">
          <a:hlinkClick xmlns:r="http://schemas.openxmlformats.org/officeDocument/2006/relationships" r:id="rId2"/>
        </xdr:cNvPr>
        <xdr:cNvSpPr/>
      </xdr:nvSpPr>
      <xdr:spPr>
        <a:xfrm flipH="1">
          <a:off x="762000" y="5334000"/>
          <a:ext cx="1924050" cy="762001"/>
        </a:xfrm>
        <a:prstGeom prst="homePlat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ru-RU" sz="1400" i="0"/>
            <a:t>Предыдущий вопрос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380834</xdr:colOff>
      <xdr:row>4</xdr:row>
      <xdr:rowOff>0</xdr:rowOff>
    </xdr:from>
    <xdr:to>
      <xdr:col>35</xdr:col>
      <xdr:colOff>285750</xdr:colOff>
      <xdr:row>13</xdr:row>
      <xdr:rowOff>38100</xdr:rowOff>
    </xdr:to>
    <xdr:grpSp>
      <xdr:nvGrpSpPr>
        <xdr:cNvPr id="2" name="Группа 12"/>
        <xdr:cNvGrpSpPr/>
      </xdr:nvGrpSpPr>
      <xdr:grpSpPr>
        <a:xfrm>
          <a:off x="1142834" y="1524000"/>
          <a:ext cx="12477916" cy="3467100"/>
          <a:chOff x="2476334" y="1695450"/>
          <a:chExt cx="12477916" cy="3467100"/>
        </a:xfrm>
      </xdr:grpSpPr>
      <xdr:cxnSp macro="">
        <xdr:nvCxnSpPr>
          <xdr:cNvPr id="3" name="Прямая соединительная линия 1"/>
          <xdr:cNvCxnSpPr/>
        </xdr:nvCxnSpPr>
        <xdr:spPr>
          <a:xfrm>
            <a:off x="2995005" y="2778763"/>
            <a:ext cx="0" cy="2059937"/>
          </a:xfrm>
          <a:prstGeom prst="line">
            <a:avLst/>
          </a:prstGeom>
          <a:ln w="25400"/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" name="Прямая соединительная линия 2"/>
          <xdr:cNvCxnSpPr/>
        </xdr:nvCxnSpPr>
        <xdr:spPr>
          <a:xfrm flipH="1">
            <a:off x="2990353" y="4044625"/>
            <a:ext cx="267197" cy="0"/>
          </a:xfrm>
          <a:prstGeom prst="line">
            <a:avLst/>
          </a:prstGeom>
          <a:ln w="25400"/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Прямая соединительная линия 3"/>
          <xdr:cNvCxnSpPr/>
        </xdr:nvCxnSpPr>
        <xdr:spPr>
          <a:xfrm flipH="1">
            <a:off x="2986886" y="3211419"/>
            <a:ext cx="327814" cy="0"/>
          </a:xfrm>
          <a:prstGeom prst="line">
            <a:avLst/>
          </a:prstGeom>
          <a:ln w="25400"/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Прямая соединительная линия 4"/>
          <xdr:cNvCxnSpPr/>
        </xdr:nvCxnSpPr>
        <xdr:spPr>
          <a:xfrm flipH="1">
            <a:off x="3002973" y="4833505"/>
            <a:ext cx="332509" cy="1"/>
          </a:xfrm>
          <a:prstGeom prst="line">
            <a:avLst/>
          </a:prstGeom>
          <a:ln w="25400"/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" name="Скругленный прямоугольник 5"/>
          <xdr:cNvSpPr/>
        </xdr:nvSpPr>
        <xdr:spPr>
          <a:xfrm>
            <a:off x="2794174" y="1948281"/>
            <a:ext cx="12160076" cy="822355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800" b="0" i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Как ты относишься к домашним заданиям?</a:t>
            </a:r>
            <a:endParaRPr lang="ru-RU" sz="34400" b="1"/>
          </a:p>
        </xdr:txBody>
      </xdr:sp>
      <xdr:sp macro="" textlink="">
        <xdr:nvSpPr>
          <xdr:cNvPr id="8" name="Скругленный прямоугольник 6"/>
          <xdr:cNvSpPr/>
        </xdr:nvSpPr>
        <xdr:spPr>
          <a:xfrm>
            <a:off x="3128775" y="2933700"/>
            <a:ext cx="11530199" cy="505608"/>
          </a:xfrm>
          <a:prstGeom prst="roundRect">
            <a:avLst>
              <a:gd name="adj" fmla="val 50000"/>
            </a:avLst>
          </a:prstGeom>
          <a:solidFill>
            <a:srgbClr val="78AADC"/>
          </a:solidFill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 b="0" i="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хочется чтобы домашние задания были</a:t>
            </a:r>
            <a:endParaRPr lang="ru-RU" sz="4800"/>
          </a:p>
        </xdr:txBody>
      </xdr:sp>
      <xdr:sp macro="" textlink="">
        <xdr:nvSpPr>
          <xdr:cNvPr id="9" name="Скругленный прямоугольник 7"/>
          <xdr:cNvSpPr/>
        </xdr:nvSpPr>
        <xdr:spPr>
          <a:xfrm>
            <a:off x="3130152" y="3769288"/>
            <a:ext cx="11509773" cy="506569"/>
          </a:xfrm>
          <a:prstGeom prst="roundRect">
            <a:avLst>
              <a:gd name="adj" fmla="val 50000"/>
            </a:avLst>
          </a:prstGeom>
          <a:solidFill>
            <a:srgbClr val="78AADC"/>
          </a:solidFill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 b="0" i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не знаю, затрудняюсь ответить</a:t>
            </a:r>
            <a:endParaRPr lang="ru-RU" sz="4800"/>
          </a:p>
        </xdr:txBody>
      </xdr:sp>
      <xdr:sp macro="" textlink="">
        <xdr:nvSpPr>
          <xdr:cNvPr id="10" name="Скругленный прямоугольник 8"/>
          <xdr:cNvSpPr/>
        </xdr:nvSpPr>
        <xdr:spPr>
          <a:xfrm>
            <a:off x="3111345" y="4576031"/>
            <a:ext cx="11538105" cy="505608"/>
          </a:xfrm>
          <a:prstGeom prst="roundRect">
            <a:avLst>
              <a:gd name="adj" fmla="val 50000"/>
            </a:avLst>
          </a:prstGeom>
          <a:solidFill>
            <a:srgbClr val="78AADC"/>
          </a:solidFill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 b="0" i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хочу чтобы домашних заданий не было</a:t>
            </a:r>
            <a:endParaRPr lang="ru-RU" sz="4800"/>
          </a:p>
        </xdr:txBody>
      </xdr:sp>
      <xdr:sp macro="" textlink="">
        <xdr:nvSpPr>
          <xdr:cNvPr id="11" name="Овал 9"/>
          <xdr:cNvSpPr/>
        </xdr:nvSpPr>
        <xdr:spPr>
          <a:xfrm>
            <a:off x="2476334" y="1695450"/>
            <a:ext cx="599567" cy="590550"/>
          </a:xfrm>
          <a:prstGeom prst="ellipse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800" b="1">
                <a:solidFill>
                  <a:schemeClr val="accent1">
                    <a:lumMod val="75000"/>
                  </a:schemeClr>
                </a:solidFill>
              </a:rPr>
              <a:t>5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2289" name="Group Box 1" hidden="1">
                <a:extLst>
                  <a:ext uri="{63B3BB69-23CF-44E3-9099-C40C66FF867C}">
                    <a14:compatExt spid="_x0000_s12289"/>
                  </a:ext>
                </a:extLst>
              </xdr:cNvPr>
              <xdr:cNvSpPr/>
            </xdr:nvSpPr>
            <xdr:spPr bwMode="auto">
              <a:xfrm>
                <a:off x="3048000" y="2895600"/>
                <a:ext cx="11630025" cy="2266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2290" name="Option Button 2" hidden="1">
                <a:extLst>
                  <a:ext uri="{63B3BB69-23CF-44E3-9099-C40C66FF867C}">
                    <a14:compatExt spid="_x0000_s12290"/>
                  </a:ext>
                </a:extLst>
              </xdr:cNvPr>
              <xdr:cNvSpPr/>
            </xdr:nvSpPr>
            <xdr:spPr bwMode="auto">
              <a:xfrm>
                <a:off x="3181350" y="3028950"/>
                <a:ext cx="11315700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2291" name="Option Button 3" descr="мне в школе не очень нравится;" hidden="1">
                <a:extLst>
                  <a:ext uri="{63B3BB69-23CF-44E3-9099-C40C66FF867C}">
                    <a14:compatExt spid="_x0000_s12291"/>
                  </a:ext>
                </a:extLst>
              </xdr:cNvPr>
              <xdr:cNvSpPr/>
            </xdr:nvSpPr>
            <xdr:spPr bwMode="auto">
              <a:xfrm>
                <a:off x="3181350" y="3867150"/>
                <a:ext cx="11258550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2292" name="Option Button 4" descr="мне в школе не очень нравится;" hidden="1">
                <a:extLst>
                  <a:ext uri="{63B3BB69-23CF-44E3-9099-C40C66FF867C}">
                    <a14:compatExt spid="_x0000_s12292"/>
                  </a:ext>
                </a:extLst>
              </xdr:cNvPr>
              <xdr:cNvSpPr/>
            </xdr:nvSpPr>
            <xdr:spPr bwMode="auto">
              <a:xfrm>
                <a:off x="3181350" y="4657725"/>
                <a:ext cx="11268075" cy="3619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32</xdr:col>
      <xdr:colOff>0</xdr:colOff>
      <xdr:row>14</xdr:row>
      <xdr:rowOff>0</xdr:rowOff>
    </xdr:from>
    <xdr:to>
      <xdr:col>36</xdr:col>
      <xdr:colOff>361950</xdr:colOff>
      <xdr:row>16</xdr:row>
      <xdr:rowOff>1</xdr:rowOff>
    </xdr:to>
    <xdr:sp macro="" textlink="">
      <xdr:nvSpPr>
        <xdr:cNvPr id="16" name="Пятиугольник 17">
          <a:hlinkClick xmlns:r="http://schemas.openxmlformats.org/officeDocument/2006/relationships" r:id="rId1"/>
        </xdr:cNvPr>
        <xdr:cNvSpPr/>
      </xdr:nvSpPr>
      <xdr:spPr>
        <a:xfrm>
          <a:off x="12192000" y="5334000"/>
          <a:ext cx="1885950" cy="762001"/>
        </a:xfrm>
        <a:prstGeom prst="homePlat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ru-RU" sz="1400" i="0"/>
            <a:t>Следующий вопрос</a:t>
          </a:r>
        </a:p>
      </xdr:txBody>
    </xdr:sp>
    <xdr:clientData/>
  </xdr:twoCellAnchor>
  <xdr:twoCellAnchor>
    <xdr:from>
      <xdr:col>2</xdr:col>
      <xdr:colOff>0</xdr:colOff>
      <xdr:row>14</xdr:row>
      <xdr:rowOff>0</xdr:rowOff>
    </xdr:from>
    <xdr:to>
      <xdr:col>7</xdr:col>
      <xdr:colOff>19050</xdr:colOff>
      <xdr:row>16</xdr:row>
      <xdr:rowOff>1</xdr:rowOff>
    </xdr:to>
    <xdr:sp macro="" textlink="">
      <xdr:nvSpPr>
        <xdr:cNvPr id="17" name="Пятиугольник 18">
          <a:hlinkClick xmlns:r="http://schemas.openxmlformats.org/officeDocument/2006/relationships" r:id="rId2"/>
        </xdr:cNvPr>
        <xdr:cNvSpPr/>
      </xdr:nvSpPr>
      <xdr:spPr>
        <a:xfrm flipH="1">
          <a:off x="762000" y="5334000"/>
          <a:ext cx="1924050" cy="762001"/>
        </a:xfrm>
        <a:prstGeom prst="homePlat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ru-RU" sz="1400" i="0"/>
            <a:t>Предыдущий вопрос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380834</xdr:colOff>
      <xdr:row>4</xdr:row>
      <xdr:rowOff>0</xdr:rowOff>
    </xdr:from>
    <xdr:to>
      <xdr:col>35</xdr:col>
      <xdr:colOff>285750</xdr:colOff>
      <xdr:row>13</xdr:row>
      <xdr:rowOff>38100</xdr:rowOff>
    </xdr:to>
    <xdr:grpSp>
      <xdr:nvGrpSpPr>
        <xdr:cNvPr id="2" name="Группа 11"/>
        <xdr:cNvGrpSpPr/>
      </xdr:nvGrpSpPr>
      <xdr:grpSpPr>
        <a:xfrm>
          <a:off x="1142834" y="1524000"/>
          <a:ext cx="12477916" cy="3467100"/>
          <a:chOff x="2476334" y="1695450"/>
          <a:chExt cx="12477916" cy="3467100"/>
        </a:xfrm>
      </xdr:grpSpPr>
      <xdr:cxnSp macro="">
        <xdr:nvCxnSpPr>
          <xdr:cNvPr id="3" name="Прямая соединительная линия 1"/>
          <xdr:cNvCxnSpPr/>
        </xdr:nvCxnSpPr>
        <xdr:spPr>
          <a:xfrm>
            <a:off x="2995005" y="2778763"/>
            <a:ext cx="0" cy="2059937"/>
          </a:xfrm>
          <a:prstGeom prst="line">
            <a:avLst/>
          </a:prstGeom>
          <a:ln w="25400"/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" name="Прямая соединительная линия 2"/>
          <xdr:cNvCxnSpPr/>
        </xdr:nvCxnSpPr>
        <xdr:spPr>
          <a:xfrm flipH="1">
            <a:off x="2990353" y="4044625"/>
            <a:ext cx="267197" cy="0"/>
          </a:xfrm>
          <a:prstGeom prst="line">
            <a:avLst/>
          </a:prstGeom>
          <a:ln w="25400"/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Прямая соединительная линия 3"/>
          <xdr:cNvCxnSpPr/>
        </xdr:nvCxnSpPr>
        <xdr:spPr>
          <a:xfrm flipH="1">
            <a:off x="2986886" y="3211419"/>
            <a:ext cx="327814" cy="0"/>
          </a:xfrm>
          <a:prstGeom prst="line">
            <a:avLst/>
          </a:prstGeom>
          <a:ln w="25400"/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Прямая соединительная линия 4"/>
          <xdr:cNvCxnSpPr/>
        </xdr:nvCxnSpPr>
        <xdr:spPr>
          <a:xfrm flipH="1">
            <a:off x="3002973" y="4833505"/>
            <a:ext cx="332509" cy="1"/>
          </a:xfrm>
          <a:prstGeom prst="line">
            <a:avLst/>
          </a:prstGeom>
          <a:ln w="25400"/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" name="Скругленный прямоугольник 5"/>
          <xdr:cNvSpPr/>
        </xdr:nvSpPr>
        <xdr:spPr>
          <a:xfrm>
            <a:off x="2794174" y="1948281"/>
            <a:ext cx="12160076" cy="822355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800" b="0" i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Хочешь, чтобы в школе были одни перемены?</a:t>
            </a:r>
            <a:endParaRPr lang="ru-RU" sz="123400" b="1"/>
          </a:p>
        </xdr:txBody>
      </xdr:sp>
      <xdr:sp macro="" textlink="">
        <xdr:nvSpPr>
          <xdr:cNvPr id="8" name="Скругленный прямоугольник 6"/>
          <xdr:cNvSpPr/>
        </xdr:nvSpPr>
        <xdr:spPr>
          <a:xfrm>
            <a:off x="3128775" y="2933700"/>
            <a:ext cx="11530199" cy="505608"/>
          </a:xfrm>
          <a:prstGeom prst="roundRect">
            <a:avLst>
              <a:gd name="adj" fmla="val 50000"/>
            </a:avLst>
          </a:prstGeom>
          <a:solidFill>
            <a:srgbClr val="78AADC"/>
          </a:solidFill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 b="0" i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нет, не хотелось бы</a:t>
            </a:r>
          </a:p>
        </xdr:txBody>
      </xdr:sp>
      <xdr:sp macro="" textlink="">
        <xdr:nvSpPr>
          <xdr:cNvPr id="9" name="Скругленный прямоугольник 7"/>
          <xdr:cNvSpPr/>
        </xdr:nvSpPr>
        <xdr:spPr>
          <a:xfrm>
            <a:off x="3130152" y="3769288"/>
            <a:ext cx="11509773" cy="506569"/>
          </a:xfrm>
          <a:prstGeom prst="roundRect">
            <a:avLst>
              <a:gd name="adj" fmla="val 50000"/>
            </a:avLst>
          </a:prstGeom>
          <a:solidFill>
            <a:srgbClr val="78AADC"/>
          </a:solidFill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 b="0" i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не знаю</a:t>
            </a:r>
            <a:endParaRPr lang="ru-RU" sz="4800"/>
          </a:p>
        </xdr:txBody>
      </xdr:sp>
      <xdr:sp macro="" textlink="">
        <xdr:nvSpPr>
          <xdr:cNvPr id="10" name="Скругленный прямоугольник 8"/>
          <xdr:cNvSpPr/>
        </xdr:nvSpPr>
        <xdr:spPr>
          <a:xfrm>
            <a:off x="3111345" y="4576031"/>
            <a:ext cx="11538105" cy="505608"/>
          </a:xfrm>
          <a:prstGeom prst="roundRect">
            <a:avLst>
              <a:gd name="adj" fmla="val 50000"/>
            </a:avLst>
          </a:prstGeom>
          <a:solidFill>
            <a:srgbClr val="78AADC"/>
          </a:solidFill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 b="0" i="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хочу чтобы в школе были только перемены</a:t>
            </a:r>
            <a:endParaRPr lang="ru-RU" sz="4800"/>
          </a:p>
        </xdr:txBody>
      </xdr:sp>
      <xdr:sp macro="" textlink="">
        <xdr:nvSpPr>
          <xdr:cNvPr id="11" name="Овал 9"/>
          <xdr:cNvSpPr/>
        </xdr:nvSpPr>
        <xdr:spPr>
          <a:xfrm>
            <a:off x="2476334" y="1695450"/>
            <a:ext cx="599567" cy="590550"/>
          </a:xfrm>
          <a:prstGeom prst="ellipse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800" b="1">
                <a:solidFill>
                  <a:schemeClr val="accent1">
                    <a:lumMod val="75000"/>
                  </a:schemeClr>
                </a:solidFill>
              </a:rPr>
              <a:t>6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3" name="Group Box 1" hidden="1">
                <a:extLst>
                  <a:ext uri="{63B3BB69-23CF-44E3-9099-C40C66FF867C}">
                    <a14:compatExt spid="_x0000_s13313"/>
                  </a:ext>
                </a:extLst>
              </xdr:cNvPr>
              <xdr:cNvSpPr/>
            </xdr:nvSpPr>
            <xdr:spPr bwMode="auto">
              <a:xfrm>
                <a:off x="3048000" y="2895600"/>
                <a:ext cx="11630025" cy="2266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4" name="Option Button 2" hidden="1">
                <a:extLst>
                  <a:ext uri="{63B3BB69-23CF-44E3-9099-C40C66FF867C}">
                    <a14:compatExt spid="_x0000_s13314"/>
                  </a:ext>
                </a:extLst>
              </xdr:cNvPr>
              <xdr:cNvSpPr/>
            </xdr:nvSpPr>
            <xdr:spPr bwMode="auto">
              <a:xfrm>
                <a:off x="3181350" y="3028950"/>
                <a:ext cx="11315700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5" name="Option Button 3" descr="мне в школе не очень нравится;" hidden="1">
                <a:extLst>
                  <a:ext uri="{63B3BB69-23CF-44E3-9099-C40C66FF867C}">
                    <a14:compatExt spid="_x0000_s13315"/>
                  </a:ext>
                </a:extLst>
              </xdr:cNvPr>
              <xdr:cNvSpPr/>
            </xdr:nvSpPr>
            <xdr:spPr bwMode="auto">
              <a:xfrm>
                <a:off x="3181350" y="3867150"/>
                <a:ext cx="11258550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6" name="Option Button 4" descr="мне в школе не очень нравится;" hidden="1">
                <a:extLst>
                  <a:ext uri="{63B3BB69-23CF-44E3-9099-C40C66FF867C}">
                    <a14:compatExt spid="_x0000_s13316"/>
                  </a:ext>
                </a:extLst>
              </xdr:cNvPr>
              <xdr:cNvSpPr/>
            </xdr:nvSpPr>
            <xdr:spPr bwMode="auto">
              <a:xfrm>
                <a:off x="3181350" y="4657725"/>
                <a:ext cx="11268075" cy="3619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32</xdr:col>
      <xdr:colOff>0</xdr:colOff>
      <xdr:row>14</xdr:row>
      <xdr:rowOff>0</xdr:rowOff>
    </xdr:from>
    <xdr:to>
      <xdr:col>36</xdr:col>
      <xdr:colOff>361950</xdr:colOff>
      <xdr:row>16</xdr:row>
      <xdr:rowOff>1</xdr:rowOff>
    </xdr:to>
    <xdr:sp macro="" textlink="">
      <xdr:nvSpPr>
        <xdr:cNvPr id="16" name="Пятиугольник 17">
          <a:hlinkClick xmlns:r="http://schemas.openxmlformats.org/officeDocument/2006/relationships" r:id="rId1"/>
        </xdr:cNvPr>
        <xdr:cNvSpPr/>
      </xdr:nvSpPr>
      <xdr:spPr>
        <a:xfrm>
          <a:off x="12192000" y="5334000"/>
          <a:ext cx="1885950" cy="762001"/>
        </a:xfrm>
        <a:prstGeom prst="homePlat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ru-RU" sz="1400" i="0"/>
            <a:t>Следующий вопрос</a:t>
          </a:r>
        </a:p>
      </xdr:txBody>
    </xdr:sp>
    <xdr:clientData/>
  </xdr:twoCellAnchor>
  <xdr:twoCellAnchor>
    <xdr:from>
      <xdr:col>2</xdr:col>
      <xdr:colOff>0</xdr:colOff>
      <xdr:row>14</xdr:row>
      <xdr:rowOff>0</xdr:rowOff>
    </xdr:from>
    <xdr:to>
      <xdr:col>7</xdr:col>
      <xdr:colOff>19050</xdr:colOff>
      <xdr:row>16</xdr:row>
      <xdr:rowOff>1</xdr:rowOff>
    </xdr:to>
    <xdr:sp macro="" textlink="">
      <xdr:nvSpPr>
        <xdr:cNvPr id="17" name="Пятиугольник 18">
          <a:hlinkClick xmlns:r="http://schemas.openxmlformats.org/officeDocument/2006/relationships" r:id="rId2"/>
        </xdr:cNvPr>
        <xdr:cNvSpPr/>
      </xdr:nvSpPr>
      <xdr:spPr>
        <a:xfrm flipH="1">
          <a:off x="762000" y="5334000"/>
          <a:ext cx="1924050" cy="762001"/>
        </a:xfrm>
        <a:prstGeom prst="homePlat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ru-RU" sz="1400" i="0"/>
            <a:t>Предыдущий вопрос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380834</xdr:colOff>
      <xdr:row>4</xdr:row>
      <xdr:rowOff>0</xdr:rowOff>
    </xdr:from>
    <xdr:to>
      <xdr:col>35</xdr:col>
      <xdr:colOff>285750</xdr:colOff>
      <xdr:row>13</xdr:row>
      <xdr:rowOff>38100</xdr:rowOff>
    </xdr:to>
    <xdr:grpSp>
      <xdr:nvGrpSpPr>
        <xdr:cNvPr id="2" name="Группа 11"/>
        <xdr:cNvGrpSpPr/>
      </xdr:nvGrpSpPr>
      <xdr:grpSpPr>
        <a:xfrm>
          <a:off x="1142834" y="1524000"/>
          <a:ext cx="12477916" cy="3467100"/>
          <a:chOff x="2476334" y="1695450"/>
          <a:chExt cx="12477916" cy="3467100"/>
        </a:xfrm>
      </xdr:grpSpPr>
      <xdr:cxnSp macro="">
        <xdr:nvCxnSpPr>
          <xdr:cNvPr id="3" name="Прямая соединительная линия 1"/>
          <xdr:cNvCxnSpPr/>
        </xdr:nvCxnSpPr>
        <xdr:spPr>
          <a:xfrm>
            <a:off x="2995005" y="2778763"/>
            <a:ext cx="0" cy="2059937"/>
          </a:xfrm>
          <a:prstGeom prst="line">
            <a:avLst/>
          </a:prstGeom>
          <a:ln w="25400"/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" name="Прямая соединительная линия 2"/>
          <xdr:cNvCxnSpPr/>
        </xdr:nvCxnSpPr>
        <xdr:spPr>
          <a:xfrm flipH="1">
            <a:off x="2990353" y="4044625"/>
            <a:ext cx="267197" cy="0"/>
          </a:xfrm>
          <a:prstGeom prst="line">
            <a:avLst/>
          </a:prstGeom>
          <a:ln w="25400"/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Прямая соединительная линия 3"/>
          <xdr:cNvCxnSpPr/>
        </xdr:nvCxnSpPr>
        <xdr:spPr>
          <a:xfrm flipH="1">
            <a:off x="2986886" y="3211419"/>
            <a:ext cx="327814" cy="0"/>
          </a:xfrm>
          <a:prstGeom prst="line">
            <a:avLst/>
          </a:prstGeom>
          <a:ln w="25400"/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Прямая соединительная линия 4"/>
          <xdr:cNvCxnSpPr/>
        </xdr:nvCxnSpPr>
        <xdr:spPr>
          <a:xfrm flipH="1">
            <a:off x="3002973" y="4833505"/>
            <a:ext cx="332509" cy="1"/>
          </a:xfrm>
          <a:prstGeom prst="line">
            <a:avLst/>
          </a:prstGeom>
          <a:ln w="25400"/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" name="Скругленный прямоугольник 5"/>
          <xdr:cNvSpPr/>
        </xdr:nvSpPr>
        <xdr:spPr>
          <a:xfrm>
            <a:off x="2794174" y="1948281"/>
            <a:ext cx="12160076" cy="822355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800" b="0" i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Рассказываешь ли ты о школе своим родителям или друзьям?</a:t>
            </a:r>
            <a:endParaRPr lang="ru-RU" sz="400000" b="1"/>
          </a:p>
        </xdr:txBody>
      </xdr:sp>
      <xdr:sp macro="" textlink="">
        <xdr:nvSpPr>
          <xdr:cNvPr id="8" name="Скругленный прямоугольник 6"/>
          <xdr:cNvSpPr/>
        </xdr:nvSpPr>
        <xdr:spPr>
          <a:xfrm>
            <a:off x="3128775" y="2933700"/>
            <a:ext cx="11530199" cy="505608"/>
          </a:xfrm>
          <a:prstGeom prst="roundRect">
            <a:avLst>
              <a:gd name="adj" fmla="val 50000"/>
            </a:avLst>
          </a:prstGeom>
          <a:solidFill>
            <a:srgbClr val="78AADC"/>
          </a:solidFill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 b="0" i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рассказываю</a:t>
            </a:r>
            <a:r>
              <a:rPr lang="ru-RU" sz="2400" b="0" i="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часто</a:t>
            </a:r>
            <a:endParaRPr lang="ru-RU" sz="4800"/>
          </a:p>
        </xdr:txBody>
      </xdr:sp>
      <xdr:sp macro="" textlink="">
        <xdr:nvSpPr>
          <xdr:cNvPr id="9" name="Скругленный прямоугольник 7"/>
          <xdr:cNvSpPr/>
        </xdr:nvSpPr>
        <xdr:spPr>
          <a:xfrm>
            <a:off x="3130152" y="3769288"/>
            <a:ext cx="11509773" cy="506569"/>
          </a:xfrm>
          <a:prstGeom prst="roundRect">
            <a:avLst>
              <a:gd name="adj" fmla="val 50000"/>
            </a:avLst>
          </a:prstGeom>
          <a:solidFill>
            <a:srgbClr val="78AADC"/>
          </a:solidFill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 b="0" i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рассказываю редко</a:t>
            </a:r>
            <a:endParaRPr lang="ru-RU" sz="4800"/>
          </a:p>
        </xdr:txBody>
      </xdr:sp>
      <xdr:sp macro="" textlink="">
        <xdr:nvSpPr>
          <xdr:cNvPr id="10" name="Скругленный прямоугольник 8"/>
          <xdr:cNvSpPr/>
        </xdr:nvSpPr>
        <xdr:spPr>
          <a:xfrm>
            <a:off x="3111345" y="4576031"/>
            <a:ext cx="11538105" cy="505608"/>
          </a:xfrm>
          <a:prstGeom prst="roundRect">
            <a:avLst>
              <a:gd name="adj" fmla="val 50000"/>
            </a:avLst>
          </a:prstGeom>
          <a:solidFill>
            <a:srgbClr val="78AADC"/>
          </a:solidFill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 b="0" i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вообще не рассказываю</a:t>
            </a:r>
            <a:endParaRPr lang="ru-RU" sz="4800"/>
          </a:p>
        </xdr:txBody>
      </xdr:sp>
      <xdr:sp macro="" textlink="">
        <xdr:nvSpPr>
          <xdr:cNvPr id="11" name="Овал 9"/>
          <xdr:cNvSpPr/>
        </xdr:nvSpPr>
        <xdr:spPr>
          <a:xfrm>
            <a:off x="2476334" y="1695450"/>
            <a:ext cx="599567" cy="590550"/>
          </a:xfrm>
          <a:prstGeom prst="ellipse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800" b="1">
                <a:solidFill>
                  <a:schemeClr val="accent1">
                    <a:lumMod val="75000"/>
                  </a:schemeClr>
                </a:solidFill>
              </a:rPr>
              <a:t>7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4337" name="Group Box 1" hidden="1">
                <a:extLst>
                  <a:ext uri="{63B3BB69-23CF-44E3-9099-C40C66FF867C}">
                    <a14:compatExt spid="_x0000_s14337"/>
                  </a:ext>
                </a:extLst>
              </xdr:cNvPr>
              <xdr:cNvSpPr/>
            </xdr:nvSpPr>
            <xdr:spPr bwMode="auto">
              <a:xfrm>
                <a:off x="3048000" y="2895600"/>
                <a:ext cx="11630025" cy="2266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4338" name="Option Button 2" hidden="1">
                <a:extLst>
                  <a:ext uri="{63B3BB69-23CF-44E3-9099-C40C66FF867C}">
                    <a14:compatExt spid="_x0000_s14338"/>
                  </a:ext>
                </a:extLst>
              </xdr:cNvPr>
              <xdr:cNvSpPr/>
            </xdr:nvSpPr>
            <xdr:spPr bwMode="auto">
              <a:xfrm>
                <a:off x="3181350" y="3028950"/>
                <a:ext cx="11315700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4339" name="Option Button 3" descr="мне в школе не очень нравится;" hidden="1">
                <a:extLst>
                  <a:ext uri="{63B3BB69-23CF-44E3-9099-C40C66FF867C}">
                    <a14:compatExt spid="_x0000_s14339"/>
                  </a:ext>
                </a:extLst>
              </xdr:cNvPr>
              <xdr:cNvSpPr/>
            </xdr:nvSpPr>
            <xdr:spPr bwMode="auto">
              <a:xfrm>
                <a:off x="3181350" y="3867150"/>
                <a:ext cx="11258550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4340" name="Option Button 4" descr="мне в школе не очень нравится;" hidden="1">
                <a:extLst>
                  <a:ext uri="{63B3BB69-23CF-44E3-9099-C40C66FF867C}">
                    <a14:compatExt spid="_x0000_s14340"/>
                  </a:ext>
                </a:extLst>
              </xdr:cNvPr>
              <xdr:cNvSpPr/>
            </xdr:nvSpPr>
            <xdr:spPr bwMode="auto">
              <a:xfrm>
                <a:off x="3181350" y="4657725"/>
                <a:ext cx="11268075" cy="3619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32</xdr:col>
      <xdr:colOff>0</xdr:colOff>
      <xdr:row>14</xdr:row>
      <xdr:rowOff>0</xdr:rowOff>
    </xdr:from>
    <xdr:to>
      <xdr:col>36</xdr:col>
      <xdr:colOff>361950</xdr:colOff>
      <xdr:row>16</xdr:row>
      <xdr:rowOff>1</xdr:rowOff>
    </xdr:to>
    <xdr:sp macro="" textlink="">
      <xdr:nvSpPr>
        <xdr:cNvPr id="16" name="Пятиугольник 17">
          <a:hlinkClick xmlns:r="http://schemas.openxmlformats.org/officeDocument/2006/relationships" r:id="rId1"/>
        </xdr:cNvPr>
        <xdr:cNvSpPr/>
      </xdr:nvSpPr>
      <xdr:spPr>
        <a:xfrm>
          <a:off x="12192000" y="5334000"/>
          <a:ext cx="1885950" cy="762001"/>
        </a:xfrm>
        <a:prstGeom prst="homePlat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ru-RU" sz="1400" i="0"/>
            <a:t>Следующий вопрос</a:t>
          </a:r>
        </a:p>
      </xdr:txBody>
    </xdr:sp>
    <xdr:clientData/>
  </xdr:twoCellAnchor>
  <xdr:twoCellAnchor>
    <xdr:from>
      <xdr:col>2</xdr:col>
      <xdr:colOff>0</xdr:colOff>
      <xdr:row>14</xdr:row>
      <xdr:rowOff>0</xdr:rowOff>
    </xdr:from>
    <xdr:to>
      <xdr:col>7</xdr:col>
      <xdr:colOff>19050</xdr:colOff>
      <xdr:row>16</xdr:row>
      <xdr:rowOff>1</xdr:rowOff>
    </xdr:to>
    <xdr:sp macro="" textlink="">
      <xdr:nvSpPr>
        <xdr:cNvPr id="17" name="Пятиугольник 18">
          <a:hlinkClick xmlns:r="http://schemas.openxmlformats.org/officeDocument/2006/relationships" r:id="rId2"/>
        </xdr:cNvPr>
        <xdr:cNvSpPr/>
      </xdr:nvSpPr>
      <xdr:spPr>
        <a:xfrm flipH="1">
          <a:off x="762000" y="5334000"/>
          <a:ext cx="1924050" cy="762001"/>
        </a:xfrm>
        <a:prstGeom prst="homePlat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ru-RU" sz="1400" i="0"/>
            <a:t>Предыдущий вопрос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380834</xdr:colOff>
      <xdr:row>4</xdr:row>
      <xdr:rowOff>0</xdr:rowOff>
    </xdr:from>
    <xdr:to>
      <xdr:col>35</xdr:col>
      <xdr:colOff>285750</xdr:colOff>
      <xdr:row>13</xdr:row>
      <xdr:rowOff>38100</xdr:rowOff>
    </xdr:to>
    <xdr:grpSp>
      <xdr:nvGrpSpPr>
        <xdr:cNvPr id="2" name="Группа 12"/>
        <xdr:cNvGrpSpPr/>
      </xdr:nvGrpSpPr>
      <xdr:grpSpPr>
        <a:xfrm>
          <a:off x="1142834" y="1524000"/>
          <a:ext cx="12477916" cy="3467100"/>
          <a:chOff x="2476334" y="1695450"/>
          <a:chExt cx="12477916" cy="3467100"/>
        </a:xfrm>
      </xdr:grpSpPr>
      <xdr:cxnSp macro="">
        <xdr:nvCxnSpPr>
          <xdr:cNvPr id="3" name="Прямая соединительная линия 1"/>
          <xdr:cNvCxnSpPr/>
        </xdr:nvCxnSpPr>
        <xdr:spPr>
          <a:xfrm>
            <a:off x="2995005" y="2778763"/>
            <a:ext cx="0" cy="2059937"/>
          </a:xfrm>
          <a:prstGeom prst="line">
            <a:avLst/>
          </a:prstGeom>
          <a:ln w="25400"/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" name="Прямая соединительная линия 2"/>
          <xdr:cNvCxnSpPr/>
        </xdr:nvCxnSpPr>
        <xdr:spPr>
          <a:xfrm flipH="1">
            <a:off x="2990353" y="4044625"/>
            <a:ext cx="267197" cy="0"/>
          </a:xfrm>
          <a:prstGeom prst="line">
            <a:avLst/>
          </a:prstGeom>
          <a:ln w="25400"/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Прямая соединительная линия 3"/>
          <xdr:cNvCxnSpPr/>
        </xdr:nvCxnSpPr>
        <xdr:spPr>
          <a:xfrm flipH="1">
            <a:off x="2986886" y="3211419"/>
            <a:ext cx="327814" cy="0"/>
          </a:xfrm>
          <a:prstGeom prst="line">
            <a:avLst/>
          </a:prstGeom>
          <a:ln w="25400"/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Прямая соединительная линия 4"/>
          <xdr:cNvCxnSpPr/>
        </xdr:nvCxnSpPr>
        <xdr:spPr>
          <a:xfrm flipH="1">
            <a:off x="3002973" y="4833505"/>
            <a:ext cx="332509" cy="1"/>
          </a:xfrm>
          <a:prstGeom prst="line">
            <a:avLst/>
          </a:prstGeom>
          <a:ln w="25400"/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" name="Скругленный прямоугольник 5"/>
          <xdr:cNvSpPr/>
        </xdr:nvSpPr>
        <xdr:spPr>
          <a:xfrm>
            <a:off x="2794174" y="1948281"/>
            <a:ext cx="12160076" cy="822355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800" b="0" i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Как ты относишься к своему классному руководителию?</a:t>
            </a:r>
            <a:endParaRPr lang="ru-RU" sz="400000" b="1"/>
          </a:p>
        </xdr:txBody>
      </xdr:sp>
      <xdr:sp macro="" textlink="">
        <xdr:nvSpPr>
          <xdr:cNvPr id="8" name="Скругленный прямоугольник 6"/>
          <xdr:cNvSpPr/>
        </xdr:nvSpPr>
        <xdr:spPr>
          <a:xfrm>
            <a:off x="3128775" y="2933700"/>
            <a:ext cx="11530199" cy="505608"/>
          </a:xfrm>
          <a:prstGeom prst="roundRect">
            <a:avLst>
              <a:gd name="adj" fmla="val 50000"/>
            </a:avLst>
          </a:prstGeom>
          <a:solidFill>
            <a:srgbClr val="78AADC"/>
          </a:solidFill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 b="0" i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мне нравится наш классный руководитель</a:t>
            </a:r>
            <a:endParaRPr lang="ru-RU" sz="4800"/>
          </a:p>
        </xdr:txBody>
      </xdr:sp>
      <xdr:sp macro="" textlink="">
        <xdr:nvSpPr>
          <xdr:cNvPr id="9" name="Скругленный прямоугольник 7"/>
          <xdr:cNvSpPr/>
        </xdr:nvSpPr>
        <xdr:spPr>
          <a:xfrm>
            <a:off x="3130152" y="3769288"/>
            <a:ext cx="11509773" cy="506569"/>
          </a:xfrm>
          <a:prstGeom prst="roundRect">
            <a:avLst>
              <a:gd name="adj" fmla="val 50000"/>
            </a:avLst>
          </a:prstGeom>
          <a:solidFill>
            <a:srgbClr val="78AADC"/>
          </a:solidFill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 b="0" i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не знаю,</a:t>
            </a:r>
            <a:r>
              <a:rPr lang="ru-RU" sz="2400" b="0" i="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затрудняюсь ответить</a:t>
            </a:r>
            <a:endParaRPr lang="ru-RU" sz="4800"/>
          </a:p>
        </xdr:txBody>
      </xdr:sp>
      <xdr:sp macro="" textlink="">
        <xdr:nvSpPr>
          <xdr:cNvPr id="10" name="Скругленный прямоугольник 8"/>
          <xdr:cNvSpPr/>
        </xdr:nvSpPr>
        <xdr:spPr>
          <a:xfrm>
            <a:off x="3111345" y="4576031"/>
            <a:ext cx="11538105" cy="505608"/>
          </a:xfrm>
          <a:prstGeom prst="roundRect">
            <a:avLst>
              <a:gd name="adj" fmla="val 50000"/>
            </a:avLst>
          </a:prstGeom>
          <a:solidFill>
            <a:srgbClr val="78AADC"/>
          </a:solidFill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 b="0" i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хочу </a:t>
            </a:r>
            <a:r>
              <a:rPr lang="ru-RU" sz="2400" b="0" i="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другого классного руководителя</a:t>
            </a:r>
            <a:endParaRPr lang="ru-RU" sz="4800"/>
          </a:p>
        </xdr:txBody>
      </xdr:sp>
      <xdr:sp macro="" textlink="">
        <xdr:nvSpPr>
          <xdr:cNvPr id="11" name="Овал 9"/>
          <xdr:cNvSpPr/>
        </xdr:nvSpPr>
        <xdr:spPr>
          <a:xfrm>
            <a:off x="2476334" y="1695450"/>
            <a:ext cx="599567" cy="590550"/>
          </a:xfrm>
          <a:prstGeom prst="ellipse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800" b="1">
                <a:solidFill>
                  <a:schemeClr val="accent1">
                    <a:lumMod val="75000"/>
                  </a:schemeClr>
                </a:solidFill>
              </a:rPr>
              <a:t>8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5361" name="Group Box 1" hidden="1">
                <a:extLst>
                  <a:ext uri="{63B3BB69-23CF-44E3-9099-C40C66FF867C}">
                    <a14:compatExt spid="_x0000_s15361"/>
                  </a:ext>
                </a:extLst>
              </xdr:cNvPr>
              <xdr:cNvSpPr/>
            </xdr:nvSpPr>
            <xdr:spPr bwMode="auto">
              <a:xfrm>
                <a:off x="3048000" y="2895600"/>
                <a:ext cx="11630025" cy="2266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5362" name="Option Button 2" hidden="1">
                <a:extLst>
                  <a:ext uri="{63B3BB69-23CF-44E3-9099-C40C66FF867C}">
                    <a14:compatExt spid="_x0000_s15362"/>
                  </a:ext>
                </a:extLst>
              </xdr:cNvPr>
              <xdr:cNvSpPr/>
            </xdr:nvSpPr>
            <xdr:spPr bwMode="auto">
              <a:xfrm>
                <a:off x="3181350" y="3028950"/>
                <a:ext cx="11315700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5363" name="Option Button 3" descr="мне в школе не очень нравится;" hidden="1">
                <a:extLst>
                  <a:ext uri="{63B3BB69-23CF-44E3-9099-C40C66FF867C}">
                    <a14:compatExt spid="_x0000_s15363"/>
                  </a:ext>
                </a:extLst>
              </xdr:cNvPr>
              <xdr:cNvSpPr/>
            </xdr:nvSpPr>
            <xdr:spPr bwMode="auto">
              <a:xfrm>
                <a:off x="3181350" y="3867150"/>
                <a:ext cx="11258550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5364" name="Option Button 4" descr="мне в школе не очень нравится;" hidden="1">
                <a:extLst>
                  <a:ext uri="{63B3BB69-23CF-44E3-9099-C40C66FF867C}">
                    <a14:compatExt spid="_x0000_s15364"/>
                  </a:ext>
                </a:extLst>
              </xdr:cNvPr>
              <xdr:cNvSpPr/>
            </xdr:nvSpPr>
            <xdr:spPr bwMode="auto">
              <a:xfrm>
                <a:off x="3181350" y="4657725"/>
                <a:ext cx="11268075" cy="3619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32</xdr:col>
      <xdr:colOff>0</xdr:colOff>
      <xdr:row>14</xdr:row>
      <xdr:rowOff>0</xdr:rowOff>
    </xdr:from>
    <xdr:to>
      <xdr:col>36</xdr:col>
      <xdr:colOff>361950</xdr:colOff>
      <xdr:row>16</xdr:row>
      <xdr:rowOff>1</xdr:rowOff>
    </xdr:to>
    <xdr:sp macro="" textlink="">
      <xdr:nvSpPr>
        <xdr:cNvPr id="16" name="Пятиугольник 17">
          <a:hlinkClick xmlns:r="http://schemas.openxmlformats.org/officeDocument/2006/relationships" r:id="rId1"/>
        </xdr:cNvPr>
        <xdr:cNvSpPr/>
      </xdr:nvSpPr>
      <xdr:spPr>
        <a:xfrm>
          <a:off x="12192000" y="5334000"/>
          <a:ext cx="1885950" cy="762001"/>
        </a:xfrm>
        <a:prstGeom prst="homePlat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ru-RU" sz="1400" i="0"/>
            <a:t>Следующий вопрос</a:t>
          </a:r>
        </a:p>
      </xdr:txBody>
    </xdr:sp>
    <xdr:clientData/>
  </xdr:twoCellAnchor>
  <xdr:twoCellAnchor>
    <xdr:from>
      <xdr:col>2</xdr:col>
      <xdr:colOff>0</xdr:colOff>
      <xdr:row>14</xdr:row>
      <xdr:rowOff>0</xdr:rowOff>
    </xdr:from>
    <xdr:to>
      <xdr:col>7</xdr:col>
      <xdr:colOff>19050</xdr:colOff>
      <xdr:row>16</xdr:row>
      <xdr:rowOff>1</xdr:rowOff>
    </xdr:to>
    <xdr:sp macro="" textlink="">
      <xdr:nvSpPr>
        <xdr:cNvPr id="17" name="Пятиугольник 18">
          <a:hlinkClick xmlns:r="http://schemas.openxmlformats.org/officeDocument/2006/relationships" r:id="rId2"/>
        </xdr:cNvPr>
        <xdr:cNvSpPr/>
      </xdr:nvSpPr>
      <xdr:spPr>
        <a:xfrm flipH="1">
          <a:off x="762000" y="5334000"/>
          <a:ext cx="1924050" cy="762001"/>
        </a:xfrm>
        <a:prstGeom prst="homePlat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ru-RU" sz="1400" i="0"/>
            <a:t>Предыдущий вопрос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380834</xdr:colOff>
      <xdr:row>4</xdr:row>
      <xdr:rowOff>0</xdr:rowOff>
    </xdr:from>
    <xdr:to>
      <xdr:col>35</xdr:col>
      <xdr:colOff>285750</xdr:colOff>
      <xdr:row>13</xdr:row>
      <xdr:rowOff>38100</xdr:rowOff>
    </xdr:to>
    <xdr:grpSp>
      <xdr:nvGrpSpPr>
        <xdr:cNvPr id="2" name="Группа 12"/>
        <xdr:cNvGrpSpPr/>
      </xdr:nvGrpSpPr>
      <xdr:grpSpPr>
        <a:xfrm>
          <a:off x="1142834" y="1524000"/>
          <a:ext cx="12477916" cy="3467100"/>
          <a:chOff x="2476334" y="1695450"/>
          <a:chExt cx="12477916" cy="3467100"/>
        </a:xfrm>
      </xdr:grpSpPr>
      <xdr:cxnSp macro="">
        <xdr:nvCxnSpPr>
          <xdr:cNvPr id="3" name="Прямая соединительная линия 1"/>
          <xdr:cNvCxnSpPr/>
        </xdr:nvCxnSpPr>
        <xdr:spPr>
          <a:xfrm>
            <a:off x="2995005" y="2778763"/>
            <a:ext cx="0" cy="2059937"/>
          </a:xfrm>
          <a:prstGeom prst="line">
            <a:avLst/>
          </a:prstGeom>
          <a:ln w="25400"/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" name="Прямая соединительная линия 2"/>
          <xdr:cNvCxnSpPr/>
        </xdr:nvCxnSpPr>
        <xdr:spPr>
          <a:xfrm flipH="1">
            <a:off x="2990353" y="4044625"/>
            <a:ext cx="267197" cy="0"/>
          </a:xfrm>
          <a:prstGeom prst="line">
            <a:avLst/>
          </a:prstGeom>
          <a:ln w="25400"/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Прямая соединительная линия 3"/>
          <xdr:cNvCxnSpPr/>
        </xdr:nvCxnSpPr>
        <xdr:spPr>
          <a:xfrm flipH="1">
            <a:off x="2986886" y="3211419"/>
            <a:ext cx="327814" cy="0"/>
          </a:xfrm>
          <a:prstGeom prst="line">
            <a:avLst/>
          </a:prstGeom>
          <a:ln w="25400"/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Прямая соединительная линия 4"/>
          <xdr:cNvCxnSpPr/>
        </xdr:nvCxnSpPr>
        <xdr:spPr>
          <a:xfrm flipH="1">
            <a:off x="3002973" y="4833505"/>
            <a:ext cx="332509" cy="1"/>
          </a:xfrm>
          <a:prstGeom prst="line">
            <a:avLst/>
          </a:prstGeom>
          <a:ln w="25400"/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" name="Скругленный прямоугольник 5"/>
          <xdr:cNvSpPr/>
        </xdr:nvSpPr>
        <xdr:spPr>
          <a:xfrm>
            <a:off x="2794174" y="1948281"/>
            <a:ext cx="12160076" cy="822355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800" b="0" i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Есть ли у тебя друзья в</a:t>
            </a:r>
            <a:r>
              <a:rPr lang="ru-RU" sz="2800" b="0" i="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классе?</a:t>
            </a:r>
            <a:endParaRPr lang="ru-RU" sz="400000" b="1"/>
          </a:p>
        </xdr:txBody>
      </xdr:sp>
      <xdr:sp macro="" textlink="">
        <xdr:nvSpPr>
          <xdr:cNvPr id="8" name="Скругленный прямоугольник 6"/>
          <xdr:cNvSpPr/>
        </xdr:nvSpPr>
        <xdr:spPr>
          <a:xfrm>
            <a:off x="3128775" y="2933700"/>
            <a:ext cx="11530199" cy="505608"/>
          </a:xfrm>
          <a:prstGeom prst="roundRect">
            <a:avLst>
              <a:gd name="adj" fmla="val 50000"/>
            </a:avLst>
          </a:prstGeom>
          <a:solidFill>
            <a:srgbClr val="78AADC"/>
          </a:solidFill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 b="0" i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у меня много друзей</a:t>
            </a:r>
            <a:endParaRPr lang="ru-RU" sz="4800"/>
          </a:p>
        </xdr:txBody>
      </xdr:sp>
      <xdr:sp macro="" textlink="">
        <xdr:nvSpPr>
          <xdr:cNvPr id="9" name="Скругленный прямоугольник 7"/>
          <xdr:cNvSpPr/>
        </xdr:nvSpPr>
        <xdr:spPr>
          <a:xfrm>
            <a:off x="3130152" y="3769288"/>
            <a:ext cx="11509773" cy="506569"/>
          </a:xfrm>
          <a:prstGeom prst="roundRect">
            <a:avLst>
              <a:gd name="adj" fmla="val 50000"/>
            </a:avLst>
          </a:prstGeom>
          <a:solidFill>
            <a:srgbClr val="78AADC"/>
          </a:solidFill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 b="0" i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у меня мало друзей</a:t>
            </a:r>
            <a:endParaRPr lang="ru-RU" sz="4800"/>
          </a:p>
        </xdr:txBody>
      </xdr:sp>
      <xdr:sp macro="" textlink="">
        <xdr:nvSpPr>
          <xdr:cNvPr id="10" name="Скругленный прямоугольник 8"/>
          <xdr:cNvSpPr/>
        </xdr:nvSpPr>
        <xdr:spPr>
          <a:xfrm>
            <a:off x="3111345" y="4576031"/>
            <a:ext cx="11538105" cy="505608"/>
          </a:xfrm>
          <a:prstGeom prst="roundRect">
            <a:avLst>
              <a:gd name="adj" fmla="val 50000"/>
            </a:avLst>
          </a:prstGeom>
          <a:solidFill>
            <a:srgbClr val="78AADC"/>
          </a:solidFill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 b="0" i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у меня нет друзей в классе</a:t>
            </a:r>
            <a:endParaRPr lang="ru-RU" sz="4800"/>
          </a:p>
        </xdr:txBody>
      </xdr:sp>
      <xdr:sp macro="" textlink="">
        <xdr:nvSpPr>
          <xdr:cNvPr id="11" name="Овал 9"/>
          <xdr:cNvSpPr/>
        </xdr:nvSpPr>
        <xdr:spPr>
          <a:xfrm>
            <a:off x="2476334" y="1695450"/>
            <a:ext cx="599567" cy="590550"/>
          </a:xfrm>
          <a:prstGeom prst="ellipse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800" b="1">
                <a:solidFill>
                  <a:schemeClr val="accent1">
                    <a:lumMod val="75000"/>
                  </a:schemeClr>
                </a:solidFill>
              </a:rPr>
              <a:t>9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6385" name="Group Box 1" hidden="1">
                <a:extLst>
                  <a:ext uri="{63B3BB69-23CF-44E3-9099-C40C66FF867C}">
                    <a14:compatExt spid="_x0000_s16385"/>
                  </a:ext>
                </a:extLst>
              </xdr:cNvPr>
              <xdr:cNvSpPr/>
            </xdr:nvSpPr>
            <xdr:spPr bwMode="auto">
              <a:xfrm>
                <a:off x="3048000" y="2895600"/>
                <a:ext cx="11630025" cy="2266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6386" name="Option Button 2" hidden="1">
                <a:extLst>
                  <a:ext uri="{63B3BB69-23CF-44E3-9099-C40C66FF867C}">
                    <a14:compatExt spid="_x0000_s16386"/>
                  </a:ext>
                </a:extLst>
              </xdr:cNvPr>
              <xdr:cNvSpPr/>
            </xdr:nvSpPr>
            <xdr:spPr bwMode="auto">
              <a:xfrm>
                <a:off x="3181350" y="3028950"/>
                <a:ext cx="11315700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6387" name="Option Button 3" descr="мне в школе не очень нравится;" hidden="1">
                <a:extLst>
                  <a:ext uri="{63B3BB69-23CF-44E3-9099-C40C66FF867C}">
                    <a14:compatExt spid="_x0000_s16387"/>
                  </a:ext>
                </a:extLst>
              </xdr:cNvPr>
              <xdr:cNvSpPr/>
            </xdr:nvSpPr>
            <xdr:spPr bwMode="auto">
              <a:xfrm>
                <a:off x="3181350" y="3867150"/>
                <a:ext cx="11258550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6388" name="Option Button 4" descr="мне в школе не очень нравится;" hidden="1">
                <a:extLst>
                  <a:ext uri="{63B3BB69-23CF-44E3-9099-C40C66FF867C}">
                    <a14:compatExt spid="_x0000_s16388"/>
                  </a:ext>
                </a:extLst>
              </xdr:cNvPr>
              <xdr:cNvSpPr/>
            </xdr:nvSpPr>
            <xdr:spPr bwMode="auto">
              <a:xfrm>
                <a:off x="3181350" y="4657725"/>
                <a:ext cx="11268075" cy="3619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32</xdr:col>
      <xdr:colOff>0</xdr:colOff>
      <xdr:row>14</xdr:row>
      <xdr:rowOff>0</xdr:rowOff>
    </xdr:from>
    <xdr:to>
      <xdr:col>36</xdr:col>
      <xdr:colOff>361950</xdr:colOff>
      <xdr:row>16</xdr:row>
      <xdr:rowOff>1</xdr:rowOff>
    </xdr:to>
    <xdr:sp macro="" textlink="">
      <xdr:nvSpPr>
        <xdr:cNvPr id="16" name="Пятиугольник 17">
          <a:hlinkClick xmlns:r="http://schemas.openxmlformats.org/officeDocument/2006/relationships" r:id="rId1"/>
        </xdr:cNvPr>
        <xdr:cNvSpPr/>
      </xdr:nvSpPr>
      <xdr:spPr>
        <a:xfrm>
          <a:off x="12192000" y="5334000"/>
          <a:ext cx="1885950" cy="762001"/>
        </a:xfrm>
        <a:prstGeom prst="homePlat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ru-RU" sz="1400" i="0"/>
            <a:t>Следующий вопрос</a:t>
          </a:r>
        </a:p>
      </xdr:txBody>
    </xdr:sp>
    <xdr:clientData/>
  </xdr:twoCellAnchor>
  <xdr:twoCellAnchor>
    <xdr:from>
      <xdr:col>2</xdr:col>
      <xdr:colOff>0</xdr:colOff>
      <xdr:row>14</xdr:row>
      <xdr:rowOff>0</xdr:rowOff>
    </xdr:from>
    <xdr:to>
      <xdr:col>7</xdr:col>
      <xdr:colOff>19050</xdr:colOff>
      <xdr:row>16</xdr:row>
      <xdr:rowOff>1</xdr:rowOff>
    </xdr:to>
    <xdr:sp macro="" textlink="">
      <xdr:nvSpPr>
        <xdr:cNvPr id="17" name="Пятиугольник 18">
          <a:hlinkClick xmlns:r="http://schemas.openxmlformats.org/officeDocument/2006/relationships" r:id="rId2"/>
        </xdr:cNvPr>
        <xdr:cNvSpPr/>
      </xdr:nvSpPr>
      <xdr:spPr>
        <a:xfrm flipH="1">
          <a:off x="762000" y="5334000"/>
          <a:ext cx="1924050" cy="762001"/>
        </a:xfrm>
        <a:prstGeom prst="homePlat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ru-RU" sz="1400" i="0"/>
            <a:t>Предыдущий вопрос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371309</xdr:colOff>
      <xdr:row>4</xdr:row>
      <xdr:rowOff>0</xdr:rowOff>
    </xdr:from>
    <xdr:to>
      <xdr:col>35</xdr:col>
      <xdr:colOff>276225</xdr:colOff>
      <xdr:row>13</xdr:row>
      <xdr:rowOff>38100</xdr:rowOff>
    </xdr:to>
    <xdr:grpSp>
      <xdr:nvGrpSpPr>
        <xdr:cNvPr id="2" name="Группа 10"/>
        <xdr:cNvGrpSpPr/>
      </xdr:nvGrpSpPr>
      <xdr:grpSpPr>
        <a:xfrm>
          <a:off x="1133309" y="1524000"/>
          <a:ext cx="12477916" cy="3467100"/>
          <a:chOff x="2476334" y="1695450"/>
          <a:chExt cx="12477916" cy="3467100"/>
        </a:xfrm>
      </xdr:grpSpPr>
      <xdr:cxnSp macro="">
        <xdr:nvCxnSpPr>
          <xdr:cNvPr id="3" name="Прямая соединительная линия 1"/>
          <xdr:cNvCxnSpPr/>
        </xdr:nvCxnSpPr>
        <xdr:spPr>
          <a:xfrm>
            <a:off x="2995005" y="2778763"/>
            <a:ext cx="0" cy="2059937"/>
          </a:xfrm>
          <a:prstGeom prst="line">
            <a:avLst/>
          </a:prstGeom>
          <a:ln w="25400"/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" name="Прямая соединительная линия 2"/>
          <xdr:cNvCxnSpPr/>
        </xdr:nvCxnSpPr>
        <xdr:spPr>
          <a:xfrm flipH="1">
            <a:off x="2990353" y="4044625"/>
            <a:ext cx="267197" cy="0"/>
          </a:xfrm>
          <a:prstGeom prst="line">
            <a:avLst/>
          </a:prstGeom>
          <a:ln w="25400"/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Прямая соединительная линия 3"/>
          <xdr:cNvCxnSpPr/>
        </xdr:nvCxnSpPr>
        <xdr:spPr>
          <a:xfrm flipH="1">
            <a:off x="2986886" y="3211419"/>
            <a:ext cx="327814" cy="0"/>
          </a:xfrm>
          <a:prstGeom prst="line">
            <a:avLst/>
          </a:prstGeom>
          <a:ln w="25400"/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Прямая соединительная линия 4"/>
          <xdr:cNvCxnSpPr/>
        </xdr:nvCxnSpPr>
        <xdr:spPr>
          <a:xfrm flipH="1">
            <a:off x="3002973" y="4833505"/>
            <a:ext cx="332509" cy="1"/>
          </a:xfrm>
          <a:prstGeom prst="line">
            <a:avLst/>
          </a:prstGeom>
          <a:ln w="25400"/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" name="Скругленный прямоугольник 5"/>
          <xdr:cNvSpPr/>
        </xdr:nvSpPr>
        <xdr:spPr>
          <a:xfrm>
            <a:off x="2794174" y="1948281"/>
            <a:ext cx="12160076" cy="822355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800" b="0" i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Как ты относишься к своим одноклассникам?</a:t>
            </a:r>
            <a:endParaRPr lang="ru-RU" sz="400000" b="1"/>
          </a:p>
        </xdr:txBody>
      </xdr:sp>
      <xdr:sp macro="" textlink="">
        <xdr:nvSpPr>
          <xdr:cNvPr id="8" name="Скругленный прямоугольник 6"/>
          <xdr:cNvSpPr/>
        </xdr:nvSpPr>
        <xdr:spPr>
          <a:xfrm>
            <a:off x="3128775" y="2933700"/>
            <a:ext cx="11530199" cy="505608"/>
          </a:xfrm>
          <a:prstGeom prst="roundRect">
            <a:avLst>
              <a:gd name="adj" fmla="val 50000"/>
            </a:avLst>
          </a:prstGeom>
          <a:solidFill>
            <a:srgbClr val="78AADC"/>
          </a:solidFill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 b="0" i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мне нравятся мои одноклассники</a:t>
            </a:r>
            <a:endParaRPr lang="ru-RU" sz="4800"/>
          </a:p>
        </xdr:txBody>
      </xdr:sp>
      <xdr:sp macro="" textlink="">
        <xdr:nvSpPr>
          <xdr:cNvPr id="9" name="Скругленный прямоугольник 7"/>
          <xdr:cNvSpPr/>
        </xdr:nvSpPr>
        <xdr:spPr>
          <a:xfrm>
            <a:off x="3130152" y="3769288"/>
            <a:ext cx="11509773" cy="506569"/>
          </a:xfrm>
          <a:prstGeom prst="roundRect">
            <a:avLst>
              <a:gd name="adj" fmla="val 50000"/>
            </a:avLst>
          </a:prstGeom>
          <a:solidFill>
            <a:srgbClr val="78AADC"/>
          </a:solidFill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 b="0" i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мне не очень нравятся мои одноклассники</a:t>
            </a:r>
            <a:endParaRPr lang="ru-RU" sz="4800"/>
          </a:p>
        </xdr:txBody>
      </xdr:sp>
      <xdr:sp macro="" textlink="">
        <xdr:nvSpPr>
          <xdr:cNvPr id="10" name="Скругленный прямоугольник 8"/>
          <xdr:cNvSpPr/>
        </xdr:nvSpPr>
        <xdr:spPr>
          <a:xfrm>
            <a:off x="3111345" y="4576031"/>
            <a:ext cx="11538105" cy="505608"/>
          </a:xfrm>
          <a:prstGeom prst="roundRect">
            <a:avLst>
              <a:gd name="adj" fmla="val 50000"/>
            </a:avLst>
          </a:prstGeom>
          <a:solidFill>
            <a:srgbClr val="78AADC"/>
          </a:solidFill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 b="0" i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мне не нравятся мои одноклассники</a:t>
            </a:r>
            <a:endParaRPr lang="ru-RU" sz="4800"/>
          </a:p>
        </xdr:txBody>
      </xdr:sp>
      <xdr:sp macro="" textlink="">
        <xdr:nvSpPr>
          <xdr:cNvPr id="11" name="Овал 9"/>
          <xdr:cNvSpPr/>
        </xdr:nvSpPr>
        <xdr:spPr>
          <a:xfrm>
            <a:off x="2476334" y="1695450"/>
            <a:ext cx="599567" cy="590550"/>
          </a:xfrm>
          <a:prstGeom prst="ellipse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ru-RU" sz="2800" b="1">
              <a:solidFill>
                <a:schemeClr val="accent1">
                  <a:lumMod val="75000"/>
                </a:schemeClr>
              </a:solidFill>
            </a:endParaRPr>
          </a:p>
        </xdr:txBody>
      </xdr:sp>
      <xdr:sp macro="" textlink="">
        <xdr:nvSpPr>
          <xdr:cNvPr id="12" name="TextBox 11"/>
          <xdr:cNvSpPr txBox="1"/>
        </xdr:nvSpPr>
        <xdr:spPr>
          <a:xfrm>
            <a:off x="2495550" y="1733550"/>
            <a:ext cx="600075" cy="4381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ru-RU" sz="2800" b="1">
                <a:solidFill>
                  <a:schemeClr val="accent1">
                    <a:lumMod val="75000"/>
                  </a:schemeClr>
                </a:solidFill>
              </a:rPr>
              <a:t>10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09" name="Group Box 1" hidden="1">
                <a:extLst>
                  <a:ext uri="{63B3BB69-23CF-44E3-9099-C40C66FF867C}">
                    <a14:compatExt spid="_x0000_s17409"/>
                  </a:ext>
                </a:extLst>
              </xdr:cNvPr>
              <xdr:cNvSpPr/>
            </xdr:nvSpPr>
            <xdr:spPr bwMode="auto">
              <a:xfrm>
                <a:off x="3048000" y="2895600"/>
                <a:ext cx="11630025" cy="2266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10" name="Option Button 2" hidden="1">
                <a:extLst>
                  <a:ext uri="{63B3BB69-23CF-44E3-9099-C40C66FF867C}">
                    <a14:compatExt spid="_x0000_s17410"/>
                  </a:ext>
                </a:extLst>
              </xdr:cNvPr>
              <xdr:cNvSpPr/>
            </xdr:nvSpPr>
            <xdr:spPr bwMode="auto">
              <a:xfrm>
                <a:off x="3181350" y="3028950"/>
                <a:ext cx="11315700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11" name="Option Button 3" descr="мне в школе не очень нравится;" hidden="1">
                <a:extLst>
                  <a:ext uri="{63B3BB69-23CF-44E3-9099-C40C66FF867C}">
                    <a14:compatExt spid="_x0000_s17411"/>
                  </a:ext>
                </a:extLst>
              </xdr:cNvPr>
              <xdr:cNvSpPr/>
            </xdr:nvSpPr>
            <xdr:spPr bwMode="auto">
              <a:xfrm>
                <a:off x="3181350" y="3867150"/>
                <a:ext cx="11258550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12" name="Option Button 4" descr="мне в школе не очень нравится;" hidden="1">
                <a:extLst>
                  <a:ext uri="{63B3BB69-23CF-44E3-9099-C40C66FF867C}">
                    <a14:compatExt spid="_x0000_s17412"/>
                  </a:ext>
                </a:extLst>
              </xdr:cNvPr>
              <xdr:cNvSpPr/>
            </xdr:nvSpPr>
            <xdr:spPr bwMode="auto">
              <a:xfrm>
                <a:off x="3181350" y="4657725"/>
                <a:ext cx="11268075" cy="3619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32</xdr:col>
      <xdr:colOff>0</xdr:colOff>
      <xdr:row>14</xdr:row>
      <xdr:rowOff>0</xdr:rowOff>
    </xdr:from>
    <xdr:to>
      <xdr:col>36</xdr:col>
      <xdr:colOff>361950</xdr:colOff>
      <xdr:row>16</xdr:row>
      <xdr:rowOff>1</xdr:rowOff>
    </xdr:to>
    <xdr:sp macro="[0]!ThisWorkbook.Complete_Test" textlink="">
      <xdr:nvSpPr>
        <xdr:cNvPr id="17" name="Пятиугольник 17"/>
        <xdr:cNvSpPr/>
      </xdr:nvSpPr>
      <xdr:spPr>
        <a:xfrm>
          <a:off x="12192000" y="5334000"/>
          <a:ext cx="1885950" cy="762001"/>
        </a:xfrm>
        <a:prstGeom prst="homePlat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ru-RU" sz="1400" b="1" i="0"/>
            <a:t>Завершить тест</a:t>
          </a:r>
        </a:p>
      </xdr:txBody>
    </xdr:sp>
    <xdr:clientData/>
  </xdr:twoCellAnchor>
  <xdr:twoCellAnchor>
    <xdr:from>
      <xdr:col>2</xdr:col>
      <xdr:colOff>0</xdr:colOff>
      <xdr:row>14</xdr:row>
      <xdr:rowOff>0</xdr:rowOff>
    </xdr:from>
    <xdr:to>
      <xdr:col>7</xdr:col>
      <xdr:colOff>19050</xdr:colOff>
      <xdr:row>16</xdr:row>
      <xdr:rowOff>1</xdr:rowOff>
    </xdr:to>
    <xdr:sp macro="" textlink="">
      <xdr:nvSpPr>
        <xdr:cNvPr id="18" name="Пятиугольник 18">
          <a:hlinkClick xmlns:r="http://schemas.openxmlformats.org/officeDocument/2006/relationships" r:id="rId1"/>
        </xdr:cNvPr>
        <xdr:cNvSpPr/>
      </xdr:nvSpPr>
      <xdr:spPr>
        <a:xfrm flipH="1">
          <a:off x="762000" y="5334000"/>
          <a:ext cx="1924050" cy="762001"/>
        </a:xfrm>
        <a:prstGeom prst="homePlat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ru-RU" sz="1400" i="0"/>
            <a:t>Предыдущий вопрос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57150</xdr:rowOff>
        </xdr:to>
        <xdr:sp macro="" textlink="">
          <xdr:nvSpPr>
            <xdr:cNvPr id="1026" name="Pupil_Lis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9525</xdr:rowOff>
        </xdr:from>
        <xdr:to>
          <xdr:col>7</xdr:col>
          <xdr:colOff>9525</xdr:colOff>
          <xdr:row>4</xdr:row>
          <xdr:rowOff>66675</xdr:rowOff>
        </xdr:to>
        <xdr:sp macro="" textlink="">
          <xdr:nvSpPr>
            <xdr:cNvPr id="1027" name="Group_Lis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0</xdr:rowOff>
        </xdr:from>
        <xdr:to>
          <xdr:col>6</xdr:col>
          <xdr:colOff>600075</xdr:colOff>
          <xdr:row>13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тест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15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модуль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1066800</xdr:colOff>
          <xdr:row>14</xdr:row>
          <xdr:rowOff>123825</xdr:rowOff>
        </xdr:from>
        <xdr:to>
          <xdr:col>2</xdr:col>
          <xdr:colOff>1019175</xdr:colOff>
          <xdr:row>19</xdr:row>
          <xdr:rowOff>133350</xdr:rowOff>
        </xdr:to>
        <xdr:sp macro="" textlink="">
          <xdr:nvSpPr>
            <xdr:cNvPr id="7169" name="TestRanges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1047750</xdr:colOff>
          <xdr:row>8</xdr:row>
          <xdr:rowOff>171450</xdr:rowOff>
        </xdr:from>
        <xdr:to>
          <xdr:col>4</xdr:col>
          <xdr:colOff>609600</xdr:colOff>
          <xdr:row>10</xdr:row>
          <xdr:rowOff>180975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Завершить тест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14</xdr:row>
          <xdr:rowOff>152400</xdr:rowOff>
        </xdr:from>
        <xdr:to>
          <xdr:col>3</xdr:col>
          <xdr:colOff>2990850</xdr:colOff>
          <xdr:row>19</xdr:row>
          <xdr:rowOff>161925</xdr:rowOff>
        </xdr:to>
        <xdr:sp macro="" textlink="">
          <xdr:nvSpPr>
            <xdr:cNvPr id="7171" name="CommandButton1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3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/>
  <dimension ref="A1:AL98"/>
  <sheetViews>
    <sheetView showGridLines="0" showRowColHeaders="0" workbookViewId="0">
      <selection activeCell="E2" sqref="E2:AI2"/>
    </sheetView>
  </sheetViews>
  <sheetFormatPr defaultColWidth="5.7109375" defaultRowHeight="30" customHeight="1" x14ac:dyDescent="0.25"/>
  <cols>
    <col min="1" max="16384" width="5.7109375" style="5"/>
  </cols>
  <sheetData>
    <row r="1" spans="1:38" ht="30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3"/>
      <c r="Y1" s="3"/>
      <c r="Z1" s="3"/>
      <c r="AA1" s="4"/>
      <c r="AB1" s="4"/>
      <c r="AC1" s="4"/>
      <c r="AD1" s="4"/>
      <c r="AE1" s="4"/>
      <c r="AF1" s="4"/>
      <c r="AG1" s="4"/>
      <c r="AH1" s="4"/>
      <c r="AI1" s="4"/>
    </row>
    <row r="2" spans="1:38" ht="30" customHeight="1" x14ac:dyDescent="0.25">
      <c r="A2" s="6"/>
      <c r="B2" s="2"/>
      <c r="C2" s="7"/>
      <c r="E2" s="54" t="s">
        <v>2</v>
      </c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4"/>
      <c r="AG2" s="54"/>
      <c r="AH2" s="54"/>
      <c r="AI2" s="54"/>
    </row>
    <row r="3" spans="1:38" ht="30" customHeight="1" x14ac:dyDescent="0.25">
      <c r="A3" s="2"/>
      <c r="B3" s="8"/>
      <c r="C3" s="7"/>
      <c r="E3" s="55" t="s">
        <v>3</v>
      </c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4"/>
      <c r="AK3" s="4"/>
      <c r="AL3" s="4"/>
    </row>
    <row r="4" spans="1:38" ht="30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3"/>
      <c r="Y4" s="3"/>
      <c r="Z4" s="9"/>
      <c r="AA4" s="3"/>
      <c r="AB4" s="9"/>
      <c r="AC4" s="9"/>
      <c r="AD4" s="10"/>
      <c r="AE4" s="10"/>
      <c r="AF4" s="4"/>
      <c r="AG4" s="4"/>
      <c r="AH4" s="4"/>
      <c r="AI4" s="4"/>
      <c r="AJ4" s="4"/>
      <c r="AK4" s="4"/>
      <c r="AL4" s="4"/>
    </row>
    <row r="5" spans="1:38" ht="30" customHeight="1" x14ac:dyDescent="0.25">
      <c r="A5" s="2"/>
      <c r="B5" s="2"/>
      <c r="C5" s="11"/>
      <c r="D5" s="2"/>
      <c r="E5" s="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3"/>
      <c r="W5" s="13"/>
      <c r="X5" s="13"/>
      <c r="Y5" s="3"/>
      <c r="Z5" s="9"/>
      <c r="AA5" s="14">
        <v>2</v>
      </c>
      <c r="AB5" s="9"/>
      <c r="AC5" s="9"/>
      <c r="AD5" s="10"/>
      <c r="AE5" s="10"/>
      <c r="AF5" s="4"/>
      <c r="AG5" s="4"/>
      <c r="AH5" s="4"/>
      <c r="AI5" s="4"/>
      <c r="AJ5" s="4"/>
      <c r="AK5" s="4"/>
      <c r="AL5" s="4"/>
    </row>
    <row r="6" spans="1:38" ht="30" customHeight="1" x14ac:dyDescent="0.25">
      <c r="A6" s="2"/>
      <c r="B6" s="2"/>
      <c r="C6" s="2"/>
      <c r="D6" s="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3"/>
      <c r="W6" s="13"/>
      <c r="X6" s="13"/>
      <c r="Y6" s="3"/>
      <c r="Z6" s="9"/>
      <c r="AA6" s="9"/>
      <c r="AB6" s="9"/>
      <c r="AC6" s="9"/>
      <c r="AD6" s="10"/>
      <c r="AE6" s="10"/>
      <c r="AF6" s="4"/>
      <c r="AG6" s="4"/>
      <c r="AH6" s="4"/>
      <c r="AI6" s="4"/>
      <c r="AJ6" s="4"/>
      <c r="AK6" s="4"/>
      <c r="AL6" s="4"/>
    </row>
    <row r="7" spans="1:38" ht="30" customHeight="1" x14ac:dyDescent="0.3">
      <c r="A7" s="2"/>
      <c r="B7" s="15"/>
      <c r="C7" s="16"/>
      <c r="D7" s="2"/>
      <c r="E7" s="2"/>
      <c r="F7" s="2"/>
      <c r="G7" s="2"/>
      <c r="H7" s="2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9"/>
      <c r="W7" s="9"/>
      <c r="X7" s="9"/>
      <c r="Y7" s="9"/>
      <c r="Z7" s="9"/>
      <c r="AA7" s="10"/>
      <c r="AB7" s="4"/>
      <c r="AC7" s="4"/>
      <c r="AD7" s="4"/>
      <c r="AE7" s="4"/>
      <c r="AF7" s="4"/>
      <c r="AG7" s="4"/>
      <c r="AH7" s="4"/>
    </row>
    <row r="8" spans="1:38" ht="30" customHeight="1" x14ac:dyDescent="0.3">
      <c r="B8" s="17"/>
      <c r="C8" s="18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3"/>
      <c r="V8" s="9"/>
      <c r="W8" s="9"/>
      <c r="X8" s="9"/>
      <c r="Y8" s="9"/>
      <c r="Z8" s="10"/>
      <c r="AA8" s="10"/>
      <c r="AB8" s="4"/>
      <c r="AC8" s="4"/>
      <c r="AD8" s="4"/>
      <c r="AE8" s="4"/>
      <c r="AF8" s="4"/>
      <c r="AG8" s="4"/>
      <c r="AH8" s="4"/>
    </row>
    <row r="9" spans="1:38" ht="30" customHeight="1" x14ac:dyDescent="0.25"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3"/>
      <c r="V9" s="9"/>
      <c r="W9" s="9"/>
      <c r="X9" s="9"/>
      <c r="Y9" s="9"/>
      <c r="Z9" s="10"/>
      <c r="AA9" s="10"/>
      <c r="AB9" s="4"/>
      <c r="AC9" s="4"/>
      <c r="AD9" s="4"/>
      <c r="AE9" s="4"/>
      <c r="AF9" s="4"/>
      <c r="AG9" s="4"/>
      <c r="AH9" s="4"/>
    </row>
    <row r="10" spans="1:38" ht="30" customHeight="1" x14ac:dyDescent="0.25"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3"/>
      <c r="V10" s="9"/>
      <c r="W10" s="9"/>
      <c r="X10" s="3"/>
      <c r="Y10" s="3"/>
      <c r="Z10" s="4"/>
      <c r="AA10" s="4"/>
      <c r="AB10" s="4"/>
      <c r="AC10" s="4"/>
      <c r="AD10" s="4"/>
      <c r="AE10" s="4"/>
      <c r="AF10" s="4"/>
      <c r="AG10" s="4"/>
      <c r="AH10" s="4"/>
    </row>
    <row r="11" spans="1:38" ht="30" customHeight="1" x14ac:dyDescent="0.25"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3"/>
      <c r="V11" s="9"/>
      <c r="W11" s="9"/>
      <c r="X11" s="3"/>
      <c r="Y11" s="3"/>
      <c r="Z11" s="4"/>
      <c r="AA11" s="4"/>
      <c r="AB11" s="4"/>
      <c r="AC11" s="4"/>
      <c r="AD11" s="4"/>
      <c r="AE11" s="4"/>
      <c r="AF11" s="4"/>
      <c r="AG11" s="4"/>
      <c r="AH11" s="4"/>
    </row>
    <row r="12" spans="1:38" ht="30" customHeight="1" x14ac:dyDescent="0.25"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3"/>
      <c r="V12" s="9"/>
      <c r="W12" s="9"/>
      <c r="X12" s="3"/>
      <c r="Y12" s="3"/>
      <c r="Z12" s="4"/>
      <c r="AA12" s="4"/>
      <c r="AB12" s="4"/>
      <c r="AC12" s="4"/>
      <c r="AD12" s="4"/>
      <c r="AE12" s="4"/>
      <c r="AF12" s="4"/>
      <c r="AG12" s="4"/>
      <c r="AH12" s="4"/>
    </row>
    <row r="13" spans="1:38" ht="30" customHeight="1" x14ac:dyDescent="0.25"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3"/>
      <c r="V13" s="9"/>
      <c r="W13" s="9"/>
      <c r="X13" s="3"/>
      <c r="Y13" s="3"/>
      <c r="Z13" s="4"/>
      <c r="AA13" s="4"/>
      <c r="AB13" s="4"/>
      <c r="AC13" s="4"/>
      <c r="AD13" s="4"/>
      <c r="AE13" s="4"/>
      <c r="AF13" s="4"/>
      <c r="AG13" s="4"/>
      <c r="AH13" s="4"/>
    </row>
    <row r="14" spans="1:38" ht="30" customHeight="1" x14ac:dyDescent="0.25"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3"/>
      <c r="V14" s="3"/>
      <c r="W14" s="3"/>
      <c r="X14" s="3"/>
      <c r="Y14" s="3"/>
      <c r="Z14" s="4"/>
      <c r="AA14" s="4"/>
      <c r="AB14" s="4"/>
      <c r="AC14" s="4"/>
      <c r="AD14" s="4"/>
      <c r="AE14" s="4"/>
      <c r="AF14" s="4"/>
      <c r="AG14" s="4"/>
      <c r="AH14" s="4"/>
    </row>
    <row r="15" spans="1:38" ht="30" customHeight="1" x14ac:dyDescent="0.25"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3"/>
      <c r="V15" s="3"/>
      <c r="W15" s="3"/>
      <c r="X15" s="3"/>
      <c r="Y15" s="3"/>
      <c r="Z15" s="4"/>
      <c r="AA15" s="4"/>
      <c r="AB15" s="4"/>
      <c r="AC15" s="4"/>
      <c r="AD15" s="4"/>
      <c r="AE15" s="4"/>
      <c r="AF15" s="4"/>
      <c r="AG15" s="4"/>
      <c r="AH15" s="4"/>
    </row>
    <row r="16" spans="1:38" ht="30" customHeight="1" x14ac:dyDescent="0.25"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3"/>
      <c r="V16" s="3"/>
      <c r="W16" s="3"/>
      <c r="X16" s="3"/>
      <c r="Y16" s="3"/>
      <c r="Z16" s="4"/>
      <c r="AA16" s="4"/>
      <c r="AB16" s="4"/>
      <c r="AC16" s="4"/>
      <c r="AD16" s="4"/>
      <c r="AE16" s="4"/>
      <c r="AF16" s="4"/>
      <c r="AG16" s="4"/>
      <c r="AH16" s="4"/>
    </row>
    <row r="17" spans="13:38" ht="30" customHeight="1" x14ac:dyDescent="0.25"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3"/>
      <c r="Z17" s="3"/>
      <c r="AA17" s="3"/>
      <c r="AB17" s="3"/>
      <c r="AC17" s="3"/>
      <c r="AD17" s="4"/>
      <c r="AE17" s="4"/>
      <c r="AF17" s="4"/>
      <c r="AG17" s="4"/>
      <c r="AH17" s="4"/>
      <c r="AI17" s="4"/>
      <c r="AJ17" s="4"/>
      <c r="AK17" s="4"/>
      <c r="AL17" s="4"/>
    </row>
    <row r="18" spans="13:38" ht="30" customHeight="1" x14ac:dyDescent="0.25"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3"/>
      <c r="Z18" s="3"/>
      <c r="AA18" s="3"/>
      <c r="AB18" s="3"/>
      <c r="AC18" s="3"/>
      <c r="AD18" s="4"/>
      <c r="AE18" s="4"/>
      <c r="AF18" s="4"/>
      <c r="AG18" s="4"/>
      <c r="AH18" s="4"/>
      <c r="AI18" s="4"/>
      <c r="AJ18" s="4"/>
      <c r="AK18" s="4"/>
      <c r="AL18" s="4"/>
    </row>
    <row r="19" spans="13:38" ht="30" customHeight="1" x14ac:dyDescent="0.25"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3"/>
      <c r="Z19" s="3"/>
      <c r="AA19" s="3"/>
      <c r="AB19" s="3"/>
      <c r="AC19" s="3"/>
      <c r="AD19" s="4"/>
      <c r="AE19" s="4"/>
      <c r="AF19" s="4"/>
      <c r="AG19" s="4"/>
      <c r="AH19" s="4"/>
      <c r="AI19" s="4"/>
      <c r="AJ19" s="4"/>
      <c r="AK19" s="4"/>
      <c r="AL19" s="4"/>
    </row>
    <row r="20" spans="13:38" ht="30" customHeight="1" x14ac:dyDescent="0.25"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3"/>
      <c r="Z20" s="3"/>
      <c r="AA20" s="3"/>
      <c r="AB20" s="3"/>
      <c r="AC20" s="3"/>
      <c r="AD20" s="4"/>
      <c r="AE20" s="4"/>
      <c r="AF20" s="4"/>
      <c r="AG20" s="4"/>
      <c r="AH20" s="4"/>
      <c r="AI20" s="4"/>
      <c r="AJ20" s="4"/>
      <c r="AK20" s="4"/>
      <c r="AL20" s="4"/>
    </row>
    <row r="21" spans="13:38" ht="30" customHeight="1" x14ac:dyDescent="0.25"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3"/>
      <c r="Z21" s="3"/>
      <c r="AA21" s="3"/>
      <c r="AB21" s="3"/>
      <c r="AC21" s="3"/>
      <c r="AD21" s="4"/>
      <c r="AE21" s="4"/>
      <c r="AF21" s="4"/>
      <c r="AG21" s="4"/>
      <c r="AH21" s="4"/>
      <c r="AI21" s="4"/>
      <c r="AJ21" s="4"/>
      <c r="AK21" s="4"/>
      <c r="AL21" s="4"/>
    </row>
    <row r="22" spans="13:38" ht="30" customHeight="1" x14ac:dyDescent="0.25"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3"/>
      <c r="Z22" s="3"/>
      <c r="AA22" s="3"/>
      <c r="AB22" s="3"/>
      <c r="AC22" s="3"/>
      <c r="AD22" s="4"/>
      <c r="AE22" s="4"/>
      <c r="AF22" s="4"/>
      <c r="AG22" s="4"/>
      <c r="AH22" s="4"/>
      <c r="AI22" s="4"/>
      <c r="AJ22" s="4"/>
      <c r="AK22" s="4"/>
      <c r="AL22" s="4"/>
    </row>
    <row r="23" spans="13:38" ht="30" customHeight="1" x14ac:dyDescent="0.25"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3"/>
      <c r="Z23" s="3"/>
      <c r="AA23" s="3"/>
      <c r="AB23" s="3"/>
      <c r="AC23" s="3"/>
      <c r="AD23" s="4"/>
      <c r="AE23" s="4"/>
      <c r="AF23" s="4"/>
      <c r="AG23" s="4"/>
      <c r="AH23" s="4"/>
      <c r="AI23" s="4"/>
      <c r="AJ23" s="4"/>
      <c r="AK23" s="4"/>
      <c r="AL23" s="4"/>
    </row>
    <row r="24" spans="13:38" ht="30" customHeight="1" x14ac:dyDescent="0.25"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3"/>
      <c r="Z24" s="3"/>
      <c r="AA24" s="3"/>
      <c r="AB24" s="3"/>
      <c r="AC24" s="3"/>
      <c r="AD24" s="4"/>
      <c r="AE24" s="4"/>
      <c r="AF24" s="4"/>
      <c r="AG24" s="4"/>
      <c r="AH24" s="4"/>
      <c r="AI24" s="4"/>
      <c r="AJ24" s="4"/>
      <c r="AK24" s="4"/>
      <c r="AL24" s="4"/>
    </row>
    <row r="25" spans="13:38" ht="30" customHeight="1" x14ac:dyDescent="0.25"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</row>
    <row r="26" spans="13:38" ht="30" customHeight="1" x14ac:dyDescent="0.25"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</row>
    <row r="27" spans="13:38" ht="30" customHeight="1" x14ac:dyDescent="0.25"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</row>
    <row r="28" spans="13:38" ht="30" customHeight="1" x14ac:dyDescent="0.25"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</row>
    <row r="29" spans="13:38" ht="30" customHeight="1" x14ac:dyDescent="0.25"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AF29" s="4"/>
      <c r="AG29" s="4"/>
      <c r="AH29" s="4"/>
      <c r="AI29" s="4"/>
      <c r="AJ29" s="4"/>
      <c r="AK29" s="4"/>
      <c r="AL29" s="4"/>
    </row>
    <row r="30" spans="13:38" ht="30" customHeight="1" x14ac:dyDescent="0.25">
      <c r="P30" s="4"/>
      <c r="Q30" s="4"/>
      <c r="R30" s="4"/>
      <c r="S30" s="4"/>
      <c r="T30" s="4"/>
      <c r="U30" s="4"/>
      <c r="V30" s="4"/>
      <c r="W30" s="4"/>
      <c r="X30" s="4"/>
      <c r="Y30" s="4"/>
      <c r="AF30" s="4"/>
      <c r="AG30" s="4"/>
      <c r="AH30" s="4"/>
      <c r="AI30" s="4"/>
      <c r="AJ30" s="4"/>
      <c r="AK30" s="4"/>
      <c r="AL30" s="4"/>
    </row>
    <row r="31" spans="13:38" ht="30" customHeight="1" x14ac:dyDescent="0.25">
      <c r="P31" s="4"/>
      <c r="Q31" s="4"/>
      <c r="R31" s="4"/>
      <c r="S31" s="4"/>
      <c r="T31" s="4"/>
      <c r="U31" s="4"/>
      <c r="V31" s="4"/>
      <c r="W31" s="4"/>
      <c r="X31" s="4"/>
      <c r="Y31" s="4"/>
      <c r="AF31" s="4"/>
      <c r="AG31" s="4"/>
      <c r="AH31" s="4"/>
      <c r="AI31" s="4"/>
      <c r="AJ31" s="4"/>
      <c r="AK31" s="4"/>
      <c r="AL31" s="4"/>
    </row>
    <row r="32" spans="13:38" ht="30" customHeight="1" x14ac:dyDescent="0.25">
      <c r="V32" s="4"/>
      <c r="W32" s="4"/>
      <c r="X32" s="4"/>
      <c r="Y32" s="4"/>
      <c r="AF32" s="4"/>
      <c r="AG32" s="4"/>
      <c r="AH32" s="4"/>
      <c r="AI32" s="4"/>
      <c r="AJ32" s="4"/>
      <c r="AK32" s="4"/>
      <c r="AL32" s="4"/>
    </row>
    <row r="33" spans="22:38" ht="30" customHeight="1" x14ac:dyDescent="0.25">
      <c r="V33" s="4"/>
      <c r="W33" s="4"/>
      <c r="X33" s="4"/>
      <c r="Y33" s="4"/>
      <c r="AF33" s="4"/>
      <c r="AG33" s="4"/>
      <c r="AH33" s="4"/>
      <c r="AI33" s="4"/>
      <c r="AJ33" s="4"/>
      <c r="AK33" s="4"/>
      <c r="AL33" s="4"/>
    </row>
    <row r="34" spans="22:38" ht="30" customHeight="1" x14ac:dyDescent="0.25">
      <c r="V34" s="4"/>
      <c r="W34" s="4"/>
      <c r="X34" s="4"/>
      <c r="Y34" s="4"/>
      <c r="AF34" s="4"/>
      <c r="AG34" s="4"/>
      <c r="AH34" s="4"/>
      <c r="AI34" s="4"/>
      <c r="AJ34" s="4"/>
      <c r="AK34" s="4"/>
      <c r="AL34" s="4"/>
    </row>
    <row r="35" spans="22:38" ht="30" customHeight="1" x14ac:dyDescent="0.25">
      <c r="W35" s="4"/>
      <c r="X35" s="4"/>
      <c r="Y35" s="4"/>
      <c r="AF35" s="4"/>
      <c r="AG35" s="4"/>
      <c r="AH35" s="4"/>
      <c r="AI35" s="4"/>
      <c r="AJ35" s="4"/>
      <c r="AK35" s="4"/>
      <c r="AL35" s="4"/>
    </row>
    <row r="36" spans="22:38" ht="30" customHeight="1" x14ac:dyDescent="0.25">
      <c r="W36" s="4"/>
      <c r="X36" s="4"/>
      <c r="Y36" s="4"/>
      <c r="AF36" s="4"/>
      <c r="AG36" s="4"/>
      <c r="AH36" s="4"/>
      <c r="AI36" s="4"/>
      <c r="AJ36" s="4"/>
      <c r="AK36" s="4"/>
      <c r="AL36" s="4"/>
    </row>
    <row r="37" spans="22:38" ht="30" customHeight="1" x14ac:dyDescent="0.25">
      <c r="W37" s="4"/>
      <c r="X37" s="4"/>
      <c r="Y37" s="4"/>
      <c r="AF37" s="4"/>
      <c r="AG37" s="4"/>
      <c r="AH37" s="4"/>
      <c r="AI37" s="4"/>
      <c r="AJ37" s="4"/>
      <c r="AK37" s="4"/>
      <c r="AL37" s="4"/>
    </row>
    <row r="38" spans="22:38" ht="30" customHeight="1" x14ac:dyDescent="0.25"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</row>
    <row r="39" spans="22:38" ht="30" customHeight="1" x14ac:dyDescent="0.25"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</row>
    <row r="40" spans="22:38" ht="30" customHeight="1" x14ac:dyDescent="0.25"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</row>
    <row r="41" spans="22:38" ht="30" customHeight="1" x14ac:dyDescent="0.25"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</row>
    <row r="42" spans="22:38" ht="30" customHeight="1" x14ac:dyDescent="0.25"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</row>
    <row r="43" spans="22:38" ht="30" customHeight="1" x14ac:dyDescent="0.25"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</row>
    <row r="44" spans="22:38" ht="30" customHeight="1" x14ac:dyDescent="0.25"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</row>
    <row r="45" spans="22:38" ht="30" customHeight="1" x14ac:dyDescent="0.25"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</row>
    <row r="46" spans="22:38" ht="30" customHeight="1" x14ac:dyDescent="0.25"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</row>
    <row r="47" spans="22:38" ht="30" customHeight="1" x14ac:dyDescent="0.25"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</row>
    <row r="48" spans="22:38" ht="30" customHeight="1" x14ac:dyDescent="0.25"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</row>
    <row r="49" spans="16:38" ht="30" customHeight="1" x14ac:dyDescent="0.25"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</row>
    <row r="50" spans="16:38" ht="30" customHeight="1" x14ac:dyDescent="0.25"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</row>
    <row r="51" spans="16:38" ht="30" customHeight="1" x14ac:dyDescent="0.25"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</row>
    <row r="52" spans="16:38" ht="30" customHeight="1" x14ac:dyDescent="0.25"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</row>
    <row r="53" spans="16:38" ht="30" customHeight="1" x14ac:dyDescent="0.25"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</row>
    <row r="54" spans="16:38" ht="30" customHeight="1" x14ac:dyDescent="0.25"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</row>
    <row r="55" spans="16:38" ht="30" customHeight="1" x14ac:dyDescent="0.25"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</row>
    <row r="56" spans="16:38" ht="30" customHeight="1" x14ac:dyDescent="0.25"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</row>
    <row r="57" spans="16:38" ht="30" customHeight="1" x14ac:dyDescent="0.25"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</row>
    <row r="58" spans="16:38" ht="30" customHeight="1" x14ac:dyDescent="0.25"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</row>
    <row r="59" spans="16:38" ht="30" customHeight="1" x14ac:dyDescent="0.25"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</row>
    <row r="60" spans="16:38" ht="30" customHeight="1" x14ac:dyDescent="0.25"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</row>
    <row r="61" spans="16:38" ht="30" customHeight="1" x14ac:dyDescent="0.25"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</row>
    <row r="62" spans="16:38" ht="30" customHeight="1" x14ac:dyDescent="0.25"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</row>
    <row r="63" spans="16:38" ht="30" customHeight="1" x14ac:dyDescent="0.25"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</row>
    <row r="64" spans="16:38" ht="30" customHeight="1" x14ac:dyDescent="0.25"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</row>
    <row r="65" spans="16:38" ht="30" customHeight="1" x14ac:dyDescent="0.25"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</row>
    <row r="66" spans="16:38" ht="30" customHeight="1" x14ac:dyDescent="0.25"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</row>
    <row r="67" spans="16:38" ht="30" customHeight="1" x14ac:dyDescent="0.25"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</row>
    <row r="68" spans="16:38" ht="30" customHeight="1" x14ac:dyDescent="0.25"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</row>
    <row r="69" spans="16:38" ht="30" customHeight="1" x14ac:dyDescent="0.25"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</row>
    <row r="70" spans="16:38" ht="30" customHeight="1" x14ac:dyDescent="0.25"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</row>
    <row r="71" spans="16:38" ht="30" customHeight="1" x14ac:dyDescent="0.25"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</row>
    <row r="72" spans="16:38" ht="30" customHeight="1" x14ac:dyDescent="0.25"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</row>
    <row r="73" spans="16:38" ht="30" customHeight="1" x14ac:dyDescent="0.25"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</row>
    <row r="74" spans="16:38" ht="30" customHeight="1" x14ac:dyDescent="0.25"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</row>
    <row r="75" spans="16:38" ht="30" customHeight="1" x14ac:dyDescent="0.25"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</row>
    <row r="76" spans="16:38" ht="30" customHeight="1" x14ac:dyDescent="0.25"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</row>
    <row r="77" spans="16:38" ht="30" customHeight="1" x14ac:dyDescent="0.25"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</row>
    <row r="78" spans="16:38" ht="30" customHeight="1" x14ac:dyDescent="0.25"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</row>
    <row r="79" spans="16:38" ht="30" customHeight="1" x14ac:dyDescent="0.25"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</row>
    <row r="80" spans="16:38" ht="30" customHeight="1" x14ac:dyDescent="0.25"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</row>
    <row r="81" spans="16:38" ht="30" customHeight="1" x14ac:dyDescent="0.25"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</row>
    <row r="82" spans="16:38" ht="30" customHeight="1" x14ac:dyDescent="0.25"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</row>
    <row r="83" spans="16:38" ht="30" customHeight="1" x14ac:dyDescent="0.25"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</row>
    <row r="84" spans="16:38" ht="30" customHeight="1" x14ac:dyDescent="0.25"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</row>
    <row r="85" spans="16:38" ht="30" customHeight="1" x14ac:dyDescent="0.25"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</row>
    <row r="86" spans="16:38" ht="30" customHeight="1" x14ac:dyDescent="0.25"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</row>
    <row r="87" spans="16:38" ht="30" customHeight="1" x14ac:dyDescent="0.25"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</row>
    <row r="88" spans="16:38" ht="30" customHeight="1" x14ac:dyDescent="0.25"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</row>
    <row r="89" spans="16:38" ht="30" customHeight="1" x14ac:dyDescent="0.25"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</row>
    <row r="90" spans="16:38" ht="30" customHeight="1" x14ac:dyDescent="0.25"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</row>
    <row r="91" spans="16:38" ht="30" customHeight="1" x14ac:dyDescent="0.25"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</row>
    <row r="92" spans="16:38" ht="30" customHeight="1" x14ac:dyDescent="0.25"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</row>
    <row r="93" spans="16:38" ht="30" customHeight="1" x14ac:dyDescent="0.25"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</row>
    <row r="94" spans="16:38" ht="30" customHeight="1" x14ac:dyDescent="0.25"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</row>
    <row r="95" spans="16:38" ht="30" customHeight="1" x14ac:dyDescent="0.25"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</row>
    <row r="96" spans="16:38" ht="30" customHeight="1" x14ac:dyDescent="0.25"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</row>
    <row r="97" spans="16:38" ht="30" customHeight="1" x14ac:dyDescent="0.25"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</row>
    <row r="98" spans="16:38" ht="30" customHeight="1" x14ac:dyDescent="0.25"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</row>
  </sheetData>
  <sheetProtection algorithmName="SHA-512" hashValue="ncUFRRbxP6veppxs3Hj207D0JfNoJ1DxXoZkTzPtbLSzZrPq1fUk8+LxsDdF5V4JcNQV81J2/TnHkp9FoFprlg==" saltValue="16SB6Ei73UcN1au+X9FmUA==" spinCount="100000" sheet="1" objects="1" scenarios="1" selectLockedCells="1" selectUnlockedCells="1"/>
  <mergeCells count="2">
    <mergeCell ref="E2:AI2"/>
    <mergeCell ref="E3:AI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Group Box 1">
              <controlPr defaultSize="0" autoFill="0" autoPict="0">
                <anchor>
                  <from>
                    <xdr:col>4</xdr:col>
                    <xdr:colOff>209550</xdr:colOff>
                    <xdr:row>7</xdr:row>
                    <xdr:rowOff>57150</xdr:rowOff>
                  </from>
                  <to>
                    <xdr:col>35</xdr:col>
                    <xdr:colOff>28575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Option Button 2">
              <controlPr defaultSize="0" autoFill="0" autoLine="0" autoPict="0">
                <anchor>
                  <from>
                    <xdr:col>4</xdr:col>
                    <xdr:colOff>342900</xdr:colOff>
                    <xdr:row>7</xdr:row>
                    <xdr:rowOff>190500</xdr:rowOff>
                  </from>
                  <to>
                    <xdr:col>34</xdr:col>
                    <xdr:colOff>228600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Option Button 3">
              <controlPr defaultSize="0" autoFill="0" autoLine="0" autoPict="0" altText="мне в школе не очень нравится;">
                <anchor>
                  <from>
                    <xdr:col>4</xdr:col>
                    <xdr:colOff>342900</xdr:colOff>
                    <xdr:row>9</xdr:row>
                    <xdr:rowOff>266700</xdr:rowOff>
                  </from>
                  <to>
                    <xdr:col>34</xdr:col>
                    <xdr:colOff>171450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Option Button 4">
              <controlPr defaultSize="0" autoFill="0" autoLine="0" autoPict="0" altText="мне в школе не очень нравится;">
                <anchor>
                  <from>
                    <xdr:col>4</xdr:col>
                    <xdr:colOff>342900</xdr:colOff>
                    <xdr:row>11</xdr:row>
                    <xdr:rowOff>295275</xdr:rowOff>
                  </from>
                  <to>
                    <xdr:col>34</xdr:col>
                    <xdr:colOff>180975</xdr:colOff>
                    <xdr:row>12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2:AL98"/>
  <sheetViews>
    <sheetView showGridLines="0" showRowColHeaders="0" workbookViewId="0">
      <selection activeCell="E2" sqref="E2:AI2"/>
    </sheetView>
  </sheetViews>
  <sheetFormatPr defaultColWidth="5.7109375" defaultRowHeight="30" customHeight="1" x14ac:dyDescent="0.25"/>
  <cols>
    <col min="1" max="16384" width="5.7109375" style="5"/>
  </cols>
  <sheetData>
    <row r="2" spans="1:38" ht="30" customHeight="1" x14ac:dyDescent="0.25">
      <c r="A2" s="19"/>
      <c r="C2" s="20"/>
    </row>
    <row r="3" spans="1:38" ht="30" customHeight="1" x14ac:dyDescent="0.3">
      <c r="B3" s="21"/>
      <c r="D3" s="22"/>
      <c r="H3" s="23"/>
      <c r="I3" s="23"/>
      <c r="J3" s="23"/>
      <c r="K3" s="23"/>
      <c r="L3" s="23"/>
      <c r="M3" s="24"/>
      <c r="N3" s="24"/>
      <c r="O3" s="24"/>
      <c r="W3" s="3"/>
      <c r="X3" s="3"/>
      <c r="Y3" s="3"/>
      <c r="Z3" s="9"/>
      <c r="AA3" s="9"/>
      <c r="AB3" s="25"/>
      <c r="AC3" s="25"/>
      <c r="AD3" s="9"/>
      <c r="AE3" s="9"/>
      <c r="AF3" s="3"/>
      <c r="AG3" s="4"/>
      <c r="AH3" s="4"/>
      <c r="AI3" s="4"/>
      <c r="AJ3" s="4"/>
      <c r="AK3" s="4"/>
      <c r="AL3" s="4"/>
    </row>
    <row r="4" spans="1:38" ht="30" customHeight="1" x14ac:dyDescent="0.25">
      <c r="W4" s="3"/>
      <c r="X4" s="3"/>
      <c r="Y4" s="3"/>
      <c r="Z4" s="3"/>
      <c r="AA4" s="3"/>
      <c r="AB4" s="9"/>
      <c r="AC4" s="9"/>
      <c r="AD4" s="9"/>
      <c r="AE4" s="9"/>
      <c r="AF4" s="3"/>
      <c r="AG4" s="4"/>
      <c r="AH4" s="4"/>
      <c r="AI4" s="4"/>
      <c r="AJ4" s="4"/>
      <c r="AK4" s="4"/>
      <c r="AL4" s="4"/>
    </row>
    <row r="5" spans="1:38" ht="30" customHeight="1" x14ac:dyDescent="0.25">
      <c r="C5" s="26"/>
      <c r="D5" s="27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9"/>
      <c r="W5" s="13"/>
      <c r="X5" s="13"/>
      <c r="Y5" s="3"/>
      <c r="Z5" s="9"/>
      <c r="AA5" s="14">
        <v>2</v>
      </c>
      <c r="AB5" s="9"/>
      <c r="AC5" s="9"/>
      <c r="AD5" s="9"/>
      <c r="AE5" s="9"/>
      <c r="AF5" s="3"/>
      <c r="AG5" s="4"/>
      <c r="AH5" s="4"/>
      <c r="AI5" s="4"/>
      <c r="AJ5" s="4"/>
      <c r="AK5" s="4"/>
      <c r="AL5" s="4"/>
    </row>
    <row r="6" spans="1:38" ht="30" customHeight="1" x14ac:dyDescent="0.25">
      <c r="M6" s="4"/>
      <c r="N6" s="4"/>
      <c r="O6" s="4"/>
      <c r="P6" s="4"/>
      <c r="Q6" s="4"/>
      <c r="R6" s="4"/>
      <c r="S6" s="4"/>
      <c r="T6" s="4"/>
      <c r="U6" s="4"/>
      <c r="V6" s="29"/>
      <c r="W6" s="13"/>
      <c r="X6" s="13"/>
      <c r="Y6" s="3"/>
      <c r="Z6" s="9"/>
      <c r="AA6" s="9"/>
      <c r="AB6" s="9"/>
      <c r="AC6" s="9"/>
      <c r="AD6" s="9"/>
      <c r="AE6" s="9"/>
      <c r="AF6" s="3"/>
      <c r="AG6" s="4"/>
      <c r="AH6" s="4"/>
      <c r="AI6" s="4"/>
      <c r="AJ6" s="4"/>
      <c r="AK6" s="4"/>
      <c r="AL6" s="4"/>
    </row>
    <row r="7" spans="1:38" ht="30" customHeight="1" x14ac:dyDescent="0.3">
      <c r="B7" s="17"/>
      <c r="C7" s="18"/>
      <c r="M7" s="4"/>
      <c r="N7" s="4"/>
      <c r="O7" s="4"/>
      <c r="P7" s="4"/>
      <c r="Q7" s="4"/>
      <c r="R7" s="4"/>
      <c r="S7" s="4"/>
      <c r="T7" s="4"/>
      <c r="U7" s="4"/>
      <c r="V7" s="4"/>
      <c r="W7" s="3"/>
      <c r="X7" s="3"/>
      <c r="Y7" s="3"/>
      <c r="Z7" s="9"/>
      <c r="AA7" s="9"/>
      <c r="AB7" s="9"/>
      <c r="AC7" s="9"/>
      <c r="AD7" s="9"/>
      <c r="AE7" s="9"/>
      <c r="AF7" s="3"/>
      <c r="AG7" s="4"/>
      <c r="AH7" s="4"/>
      <c r="AI7" s="4"/>
      <c r="AJ7" s="4"/>
      <c r="AK7" s="4"/>
      <c r="AL7" s="4"/>
    </row>
    <row r="8" spans="1:38" ht="30" customHeight="1" x14ac:dyDescent="0.3">
      <c r="B8" s="17"/>
      <c r="C8" s="18"/>
      <c r="M8" s="4"/>
      <c r="N8" s="4"/>
      <c r="O8" s="4"/>
      <c r="P8" s="4"/>
      <c r="Q8" s="4"/>
      <c r="R8" s="4"/>
      <c r="S8" s="4"/>
      <c r="T8" s="4"/>
      <c r="U8" s="4"/>
      <c r="V8" s="4"/>
      <c r="W8" s="3"/>
      <c r="X8" s="3"/>
      <c r="Y8" s="3"/>
      <c r="Z8" s="9"/>
      <c r="AA8" s="9"/>
      <c r="AB8" s="9"/>
      <c r="AC8" s="9"/>
      <c r="AD8" s="9"/>
      <c r="AE8" s="9"/>
      <c r="AF8" s="3"/>
      <c r="AG8" s="4"/>
      <c r="AH8" s="4"/>
      <c r="AI8" s="4"/>
      <c r="AJ8" s="4"/>
      <c r="AK8" s="4"/>
      <c r="AL8" s="4"/>
    </row>
    <row r="9" spans="1:38" ht="30" customHeight="1" x14ac:dyDescent="0.25">
      <c r="M9" s="4"/>
      <c r="N9" s="4"/>
      <c r="O9" s="4"/>
      <c r="P9" s="4"/>
      <c r="Q9" s="4"/>
      <c r="R9" s="4"/>
      <c r="S9" s="4"/>
      <c r="T9" s="4"/>
      <c r="U9" s="4"/>
      <c r="V9" s="4"/>
      <c r="W9" s="3"/>
      <c r="X9" s="3"/>
      <c r="Y9" s="3"/>
      <c r="Z9" s="9"/>
      <c r="AA9" s="9"/>
      <c r="AB9" s="9"/>
      <c r="AC9" s="9"/>
      <c r="AD9" s="9"/>
      <c r="AE9" s="9"/>
      <c r="AF9" s="3"/>
      <c r="AG9" s="4"/>
      <c r="AH9" s="4"/>
      <c r="AI9" s="4"/>
      <c r="AJ9" s="4"/>
      <c r="AK9" s="4"/>
      <c r="AL9" s="4"/>
    </row>
    <row r="10" spans="1:38" ht="30" customHeight="1" x14ac:dyDescent="0.25">
      <c r="M10" s="4"/>
      <c r="N10" s="4"/>
      <c r="O10" s="4"/>
      <c r="P10" s="4"/>
      <c r="Q10" s="4"/>
      <c r="R10" s="4"/>
      <c r="S10" s="4"/>
      <c r="T10" s="4"/>
      <c r="U10" s="4"/>
      <c r="V10" s="4"/>
      <c r="W10" s="3"/>
      <c r="X10" s="3"/>
      <c r="Y10" s="3"/>
      <c r="Z10" s="9"/>
      <c r="AA10" s="9"/>
      <c r="AB10" s="3"/>
      <c r="AC10" s="3"/>
      <c r="AD10" s="3"/>
      <c r="AE10" s="3"/>
      <c r="AF10" s="3"/>
      <c r="AG10" s="4"/>
      <c r="AH10" s="4"/>
      <c r="AI10" s="4"/>
      <c r="AJ10" s="4"/>
      <c r="AK10" s="4"/>
      <c r="AL10" s="4"/>
    </row>
    <row r="11" spans="1:38" ht="30" customHeight="1" x14ac:dyDescent="0.25">
      <c r="M11" s="4"/>
      <c r="N11" s="4"/>
      <c r="O11" s="4"/>
      <c r="P11" s="4"/>
      <c r="Q11" s="4"/>
      <c r="R11" s="4"/>
      <c r="S11" s="4"/>
      <c r="T11" s="4"/>
      <c r="U11" s="4"/>
      <c r="V11" s="4"/>
      <c r="W11" s="3"/>
      <c r="X11" s="3"/>
      <c r="Y11" s="3"/>
      <c r="Z11" s="9"/>
      <c r="AA11" s="9"/>
      <c r="AB11" s="3"/>
      <c r="AC11" s="3"/>
      <c r="AD11" s="3"/>
      <c r="AE11" s="3"/>
      <c r="AF11" s="3"/>
      <c r="AG11" s="4"/>
      <c r="AH11" s="4"/>
      <c r="AI11" s="4"/>
      <c r="AJ11" s="4"/>
      <c r="AK11" s="4"/>
      <c r="AL11" s="4"/>
    </row>
    <row r="12" spans="1:38" ht="30" customHeight="1" x14ac:dyDescent="0.25">
      <c r="M12" s="4"/>
      <c r="N12" s="4"/>
      <c r="O12" s="4"/>
      <c r="P12" s="4"/>
      <c r="Q12" s="4"/>
      <c r="R12" s="4"/>
      <c r="S12" s="4"/>
      <c r="T12" s="4"/>
      <c r="U12" s="4"/>
      <c r="V12" s="4"/>
      <c r="W12" s="3"/>
      <c r="X12" s="3"/>
      <c r="Y12" s="3"/>
      <c r="Z12" s="9"/>
      <c r="AA12" s="9"/>
      <c r="AB12" s="3"/>
      <c r="AC12" s="3"/>
      <c r="AD12" s="3"/>
      <c r="AE12" s="3"/>
      <c r="AF12" s="3"/>
      <c r="AG12" s="4"/>
      <c r="AH12" s="4"/>
      <c r="AI12" s="4"/>
      <c r="AJ12" s="4"/>
      <c r="AK12" s="4"/>
      <c r="AL12" s="4"/>
    </row>
    <row r="13" spans="1:38" ht="30" customHeight="1" x14ac:dyDescent="0.25">
      <c r="M13" s="4"/>
      <c r="N13" s="4"/>
      <c r="O13" s="4"/>
      <c r="P13" s="4"/>
      <c r="Q13" s="4"/>
      <c r="R13" s="4"/>
      <c r="S13" s="4"/>
      <c r="T13" s="4"/>
      <c r="U13" s="4"/>
      <c r="V13" s="4"/>
      <c r="W13" s="3"/>
      <c r="X13" s="3"/>
      <c r="Y13" s="3"/>
      <c r="Z13" s="9"/>
      <c r="AA13" s="9"/>
      <c r="AB13" s="3"/>
      <c r="AC13" s="3"/>
      <c r="AD13" s="3"/>
      <c r="AE13" s="3"/>
      <c r="AF13" s="3"/>
      <c r="AG13" s="4"/>
      <c r="AH13" s="4"/>
      <c r="AI13" s="4"/>
      <c r="AJ13" s="4"/>
      <c r="AK13" s="4"/>
      <c r="AL13" s="4"/>
    </row>
    <row r="14" spans="1:38" ht="30" customHeight="1" x14ac:dyDescent="0.25">
      <c r="M14" s="4"/>
      <c r="N14" s="4"/>
      <c r="O14" s="4"/>
      <c r="P14" s="4"/>
      <c r="Q14" s="4"/>
      <c r="R14" s="4"/>
      <c r="S14" s="4"/>
      <c r="T14" s="4"/>
      <c r="U14" s="4"/>
      <c r="V14" s="4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4"/>
      <c r="AH14" s="4"/>
      <c r="AI14" s="4"/>
      <c r="AJ14" s="4"/>
      <c r="AK14" s="4"/>
      <c r="AL14" s="4"/>
    </row>
    <row r="15" spans="1:38" ht="30" customHeight="1" x14ac:dyDescent="0.25">
      <c r="M15" s="4"/>
      <c r="N15" s="4"/>
      <c r="O15" s="4"/>
      <c r="P15" s="4"/>
      <c r="Q15" s="4"/>
      <c r="R15" s="4"/>
      <c r="S15" s="4"/>
      <c r="T15" s="4"/>
      <c r="U15" s="4"/>
      <c r="V15" s="4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4"/>
      <c r="AH15" s="4"/>
      <c r="AI15" s="4"/>
      <c r="AJ15" s="4"/>
      <c r="AK15" s="4"/>
      <c r="AL15" s="4"/>
    </row>
    <row r="16" spans="1:38" ht="30" customHeight="1" x14ac:dyDescent="0.25">
      <c r="M16" s="4"/>
      <c r="N16" s="4"/>
      <c r="O16" s="4"/>
      <c r="P16" s="4"/>
      <c r="Q16" s="4"/>
      <c r="R16" s="4"/>
      <c r="S16" s="4"/>
      <c r="T16" s="4"/>
      <c r="U16" s="4"/>
      <c r="V16" s="4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4"/>
      <c r="AH16" s="4"/>
      <c r="AI16" s="4"/>
      <c r="AJ16" s="4"/>
      <c r="AK16" s="4"/>
      <c r="AL16" s="4"/>
    </row>
    <row r="17" spans="13:38" ht="30" customHeight="1" x14ac:dyDescent="0.25">
      <c r="M17" s="4"/>
      <c r="N17" s="4"/>
      <c r="O17" s="4"/>
      <c r="P17" s="4"/>
      <c r="Q17" s="4"/>
      <c r="R17" s="4"/>
      <c r="S17" s="4"/>
      <c r="T17" s="4"/>
      <c r="U17" s="4"/>
      <c r="V17" s="4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4"/>
      <c r="AH17" s="4"/>
      <c r="AI17" s="4"/>
      <c r="AJ17" s="4"/>
      <c r="AK17" s="4"/>
      <c r="AL17" s="4"/>
    </row>
    <row r="18" spans="13:38" ht="30" customHeight="1" x14ac:dyDescent="0.25">
      <c r="M18" s="4"/>
      <c r="N18" s="4"/>
      <c r="O18" s="4"/>
      <c r="P18" s="4"/>
      <c r="Q18" s="4"/>
      <c r="R18" s="4"/>
      <c r="S18" s="4"/>
      <c r="T18" s="4"/>
      <c r="U18" s="4"/>
      <c r="V18" s="4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4"/>
      <c r="AH18" s="4"/>
      <c r="AI18" s="4"/>
      <c r="AJ18" s="4"/>
      <c r="AK18" s="4"/>
      <c r="AL18" s="4"/>
    </row>
    <row r="19" spans="13:38" ht="30" customHeight="1" x14ac:dyDescent="0.25">
      <c r="M19" s="4"/>
      <c r="N19" s="4"/>
      <c r="O19" s="4"/>
      <c r="P19" s="4"/>
      <c r="Q19" s="4"/>
      <c r="R19" s="4"/>
      <c r="S19" s="4"/>
      <c r="T19" s="4"/>
      <c r="U19" s="4"/>
      <c r="V19" s="4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4"/>
      <c r="AH19" s="4"/>
      <c r="AI19" s="4"/>
      <c r="AJ19" s="4"/>
      <c r="AK19" s="4"/>
      <c r="AL19" s="4"/>
    </row>
    <row r="20" spans="13:38" ht="30" customHeight="1" x14ac:dyDescent="0.25">
      <c r="M20" s="4"/>
      <c r="N20" s="4"/>
      <c r="O20" s="4"/>
      <c r="P20" s="4"/>
      <c r="Q20" s="4"/>
      <c r="R20" s="4"/>
      <c r="S20" s="4"/>
      <c r="T20" s="4"/>
      <c r="U20" s="4"/>
      <c r="V20" s="4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4"/>
      <c r="AH20" s="4"/>
      <c r="AI20" s="4"/>
      <c r="AJ20" s="4"/>
      <c r="AK20" s="4"/>
      <c r="AL20" s="4"/>
    </row>
    <row r="21" spans="13:38" ht="30" customHeight="1" x14ac:dyDescent="0.25">
      <c r="M21" s="4"/>
      <c r="N21" s="4"/>
      <c r="O21" s="4"/>
      <c r="P21" s="4"/>
      <c r="Q21" s="4"/>
      <c r="R21" s="4"/>
      <c r="S21" s="4"/>
      <c r="T21" s="4"/>
      <c r="U21" s="4"/>
      <c r="V21" s="4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4"/>
      <c r="AH21" s="4"/>
      <c r="AI21" s="4"/>
      <c r="AJ21" s="4"/>
      <c r="AK21" s="4"/>
      <c r="AL21" s="4"/>
    </row>
    <row r="22" spans="13:38" ht="30" customHeight="1" x14ac:dyDescent="0.25"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AF22" s="4"/>
      <c r="AG22" s="4"/>
      <c r="AH22" s="4"/>
      <c r="AI22" s="4"/>
      <c r="AJ22" s="4"/>
      <c r="AK22" s="4"/>
      <c r="AL22" s="4"/>
    </row>
    <row r="23" spans="13:38" ht="30" customHeight="1" x14ac:dyDescent="0.25"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AF23" s="4"/>
      <c r="AG23" s="4"/>
      <c r="AH23" s="4"/>
      <c r="AI23" s="4"/>
      <c r="AJ23" s="4"/>
      <c r="AK23" s="4"/>
      <c r="AL23" s="4"/>
    </row>
    <row r="24" spans="13:38" ht="30" customHeight="1" x14ac:dyDescent="0.25"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AF24" s="4"/>
      <c r="AG24" s="4"/>
      <c r="AH24" s="4"/>
      <c r="AI24" s="4"/>
      <c r="AJ24" s="4"/>
      <c r="AK24" s="4"/>
      <c r="AL24" s="4"/>
    </row>
    <row r="25" spans="13:38" ht="30" customHeight="1" x14ac:dyDescent="0.25"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AF25" s="4"/>
      <c r="AG25" s="4"/>
      <c r="AH25" s="4"/>
      <c r="AI25" s="4"/>
      <c r="AJ25" s="4"/>
      <c r="AK25" s="4"/>
      <c r="AL25" s="4"/>
    </row>
    <row r="26" spans="13:38" ht="30" customHeight="1" x14ac:dyDescent="0.25"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AF26" s="4"/>
      <c r="AG26" s="4"/>
      <c r="AH26" s="4"/>
      <c r="AI26" s="4"/>
      <c r="AJ26" s="4"/>
      <c r="AK26" s="4"/>
      <c r="AL26" s="4"/>
    </row>
    <row r="27" spans="13:38" ht="30" customHeight="1" x14ac:dyDescent="0.25">
      <c r="P27" s="4"/>
      <c r="Q27" s="4"/>
      <c r="R27" s="4"/>
      <c r="S27" s="4"/>
      <c r="T27" s="4"/>
      <c r="U27" s="4"/>
      <c r="V27" s="4"/>
      <c r="W27" s="4"/>
      <c r="X27" s="4"/>
      <c r="Y27" s="4"/>
      <c r="AF27" s="4"/>
      <c r="AG27" s="4"/>
      <c r="AH27" s="4"/>
      <c r="AI27" s="4"/>
      <c r="AJ27" s="4"/>
      <c r="AK27" s="4"/>
      <c r="AL27" s="4"/>
    </row>
    <row r="28" spans="13:38" ht="30" customHeight="1" x14ac:dyDescent="0.25">
      <c r="V28" s="4"/>
      <c r="W28" s="4"/>
      <c r="X28" s="4"/>
      <c r="Y28" s="4"/>
      <c r="AF28" s="4"/>
      <c r="AG28" s="4"/>
      <c r="AH28" s="4"/>
      <c r="AI28" s="4"/>
      <c r="AJ28" s="4"/>
      <c r="AK28" s="4"/>
      <c r="AL28" s="4"/>
    </row>
    <row r="29" spans="13:38" ht="30" customHeight="1" x14ac:dyDescent="0.25">
      <c r="V29" s="4"/>
      <c r="W29" s="4"/>
      <c r="X29" s="4"/>
      <c r="Y29" s="4"/>
      <c r="AF29" s="4"/>
      <c r="AG29" s="4"/>
      <c r="AH29" s="4"/>
      <c r="AI29" s="4"/>
      <c r="AJ29" s="4"/>
      <c r="AK29" s="4"/>
      <c r="AL29" s="4"/>
    </row>
    <row r="30" spans="13:38" ht="30" customHeight="1" x14ac:dyDescent="0.25">
      <c r="V30" s="4"/>
      <c r="W30" s="4"/>
      <c r="X30" s="4"/>
      <c r="Y30" s="4"/>
      <c r="AF30" s="4"/>
      <c r="AG30" s="4"/>
      <c r="AH30" s="4"/>
      <c r="AI30" s="4"/>
      <c r="AJ30" s="4"/>
      <c r="AK30" s="4"/>
      <c r="AL30" s="4"/>
    </row>
    <row r="31" spans="13:38" ht="30" customHeight="1" x14ac:dyDescent="0.25">
      <c r="P31" s="4"/>
      <c r="Q31" s="4"/>
      <c r="R31" s="4"/>
      <c r="S31" s="4"/>
      <c r="T31" s="4"/>
      <c r="U31" s="4"/>
      <c r="V31" s="4"/>
      <c r="W31" s="4"/>
      <c r="X31" s="4"/>
      <c r="Y31" s="4"/>
      <c r="AF31" s="4"/>
      <c r="AG31" s="4"/>
      <c r="AH31" s="4"/>
      <c r="AI31" s="4"/>
      <c r="AJ31" s="4"/>
      <c r="AK31" s="4"/>
      <c r="AL31" s="4"/>
    </row>
    <row r="32" spans="13:38" ht="30" customHeight="1" x14ac:dyDescent="0.25">
      <c r="V32" s="4"/>
      <c r="W32" s="4"/>
      <c r="X32" s="4"/>
      <c r="Y32" s="4"/>
      <c r="AF32" s="4"/>
      <c r="AG32" s="4"/>
      <c r="AH32" s="4"/>
      <c r="AI32" s="4"/>
      <c r="AJ32" s="4"/>
      <c r="AK32" s="4"/>
      <c r="AL32" s="4"/>
    </row>
    <row r="33" spans="22:38" ht="30" customHeight="1" x14ac:dyDescent="0.25">
      <c r="V33" s="4"/>
      <c r="W33" s="4"/>
      <c r="X33" s="4"/>
      <c r="Y33" s="4"/>
      <c r="AF33" s="4"/>
      <c r="AG33" s="4"/>
      <c r="AH33" s="4"/>
      <c r="AI33" s="4"/>
      <c r="AJ33" s="4"/>
      <c r="AK33" s="4"/>
      <c r="AL33" s="4"/>
    </row>
    <row r="34" spans="22:38" ht="30" customHeight="1" x14ac:dyDescent="0.25">
      <c r="V34" s="4"/>
      <c r="W34" s="4"/>
      <c r="X34" s="4"/>
      <c r="Y34" s="4"/>
      <c r="AF34" s="4"/>
      <c r="AG34" s="4"/>
      <c r="AH34" s="4"/>
      <c r="AI34" s="4"/>
      <c r="AJ34" s="4"/>
      <c r="AK34" s="4"/>
      <c r="AL34" s="4"/>
    </row>
    <row r="35" spans="22:38" ht="30" customHeight="1" x14ac:dyDescent="0.25">
      <c r="W35" s="4"/>
      <c r="X35" s="4"/>
      <c r="Y35" s="4"/>
      <c r="AF35" s="4"/>
      <c r="AG35" s="4"/>
      <c r="AH35" s="4"/>
      <c r="AI35" s="4"/>
      <c r="AJ35" s="4"/>
      <c r="AK35" s="4"/>
      <c r="AL35" s="4"/>
    </row>
    <row r="36" spans="22:38" ht="30" customHeight="1" x14ac:dyDescent="0.25">
      <c r="W36" s="4"/>
      <c r="X36" s="4"/>
      <c r="Y36" s="4"/>
      <c r="AF36" s="4"/>
      <c r="AG36" s="4"/>
      <c r="AH36" s="4"/>
      <c r="AI36" s="4"/>
      <c r="AJ36" s="4"/>
      <c r="AK36" s="4"/>
      <c r="AL36" s="4"/>
    </row>
    <row r="37" spans="22:38" ht="30" customHeight="1" x14ac:dyDescent="0.25">
      <c r="W37" s="4"/>
      <c r="X37" s="4"/>
      <c r="Y37" s="4"/>
      <c r="AF37" s="4"/>
      <c r="AG37" s="4"/>
      <c r="AH37" s="4"/>
      <c r="AI37" s="4"/>
      <c r="AJ37" s="4"/>
      <c r="AK37" s="4"/>
      <c r="AL37" s="4"/>
    </row>
    <row r="38" spans="22:38" ht="30" customHeight="1" x14ac:dyDescent="0.25"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</row>
    <row r="39" spans="22:38" ht="30" customHeight="1" x14ac:dyDescent="0.25"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</row>
    <row r="40" spans="22:38" ht="30" customHeight="1" x14ac:dyDescent="0.25"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</row>
    <row r="41" spans="22:38" ht="30" customHeight="1" x14ac:dyDescent="0.25"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</row>
    <row r="42" spans="22:38" ht="30" customHeight="1" x14ac:dyDescent="0.25"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</row>
    <row r="43" spans="22:38" ht="30" customHeight="1" x14ac:dyDescent="0.25"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</row>
    <row r="44" spans="22:38" ht="30" customHeight="1" x14ac:dyDescent="0.25"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</row>
    <row r="45" spans="22:38" ht="30" customHeight="1" x14ac:dyDescent="0.25"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</row>
    <row r="46" spans="22:38" ht="30" customHeight="1" x14ac:dyDescent="0.25"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</row>
    <row r="47" spans="22:38" ht="30" customHeight="1" x14ac:dyDescent="0.25"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</row>
    <row r="48" spans="22:38" ht="30" customHeight="1" x14ac:dyDescent="0.25"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</row>
    <row r="49" spans="16:38" ht="30" customHeight="1" x14ac:dyDescent="0.25"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</row>
    <row r="50" spans="16:38" ht="30" customHeight="1" x14ac:dyDescent="0.25"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</row>
    <row r="51" spans="16:38" ht="30" customHeight="1" x14ac:dyDescent="0.25"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</row>
    <row r="52" spans="16:38" ht="30" customHeight="1" x14ac:dyDescent="0.25"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</row>
    <row r="53" spans="16:38" ht="30" customHeight="1" x14ac:dyDescent="0.25"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</row>
    <row r="54" spans="16:38" ht="30" customHeight="1" x14ac:dyDescent="0.25"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</row>
    <row r="55" spans="16:38" ht="30" customHeight="1" x14ac:dyDescent="0.25"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</row>
    <row r="56" spans="16:38" ht="30" customHeight="1" x14ac:dyDescent="0.25"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</row>
    <row r="57" spans="16:38" ht="30" customHeight="1" x14ac:dyDescent="0.25"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</row>
    <row r="58" spans="16:38" ht="30" customHeight="1" x14ac:dyDescent="0.25"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</row>
    <row r="59" spans="16:38" ht="30" customHeight="1" x14ac:dyDescent="0.25"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</row>
    <row r="60" spans="16:38" ht="30" customHeight="1" x14ac:dyDescent="0.25"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</row>
    <row r="61" spans="16:38" ht="30" customHeight="1" x14ac:dyDescent="0.25"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</row>
    <row r="62" spans="16:38" ht="30" customHeight="1" x14ac:dyDescent="0.25"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</row>
    <row r="63" spans="16:38" ht="30" customHeight="1" x14ac:dyDescent="0.25"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</row>
    <row r="64" spans="16:38" ht="30" customHeight="1" x14ac:dyDescent="0.25"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</row>
    <row r="65" spans="16:38" ht="30" customHeight="1" x14ac:dyDescent="0.25"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</row>
    <row r="66" spans="16:38" ht="30" customHeight="1" x14ac:dyDescent="0.25"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</row>
    <row r="67" spans="16:38" ht="30" customHeight="1" x14ac:dyDescent="0.25"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</row>
    <row r="68" spans="16:38" ht="30" customHeight="1" x14ac:dyDescent="0.25"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</row>
    <row r="69" spans="16:38" ht="30" customHeight="1" x14ac:dyDescent="0.25"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</row>
    <row r="70" spans="16:38" ht="30" customHeight="1" x14ac:dyDescent="0.25"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</row>
    <row r="71" spans="16:38" ht="30" customHeight="1" x14ac:dyDescent="0.25"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</row>
    <row r="72" spans="16:38" ht="30" customHeight="1" x14ac:dyDescent="0.25"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</row>
    <row r="73" spans="16:38" ht="30" customHeight="1" x14ac:dyDescent="0.25"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</row>
    <row r="74" spans="16:38" ht="30" customHeight="1" x14ac:dyDescent="0.25"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</row>
    <row r="75" spans="16:38" ht="30" customHeight="1" x14ac:dyDescent="0.25"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</row>
    <row r="76" spans="16:38" ht="30" customHeight="1" x14ac:dyDescent="0.25"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</row>
    <row r="77" spans="16:38" ht="30" customHeight="1" x14ac:dyDescent="0.25"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</row>
    <row r="78" spans="16:38" ht="30" customHeight="1" x14ac:dyDescent="0.25"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</row>
    <row r="79" spans="16:38" ht="30" customHeight="1" x14ac:dyDescent="0.25"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</row>
    <row r="80" spans="16:38" ht="30" customHeight="1" x14ac:dyDescent="0.25"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</row>
    <row r="81" spans="16:38" ht="30" customHeight="1" x14ac:dyDescent="0.25"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</row>
    <row r="82" spans="16:38" ht="30" customHeight="1" x14ac:dyDescent="0.25"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</row>
    <row r="83" spans="16:38" ht="30" customHeight="1" x14ac:dyDescent="0.25"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</row>
    <row r="84" spans="16:38" ht="30" customHeight="1" x14ac:dyDescent="0.25"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</row>
    <row r="85" spans="16:38" ht="30" customHeight="1" x14ac:dyDescent="0.25"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</row>
    <row r="86" spans="16:38" ht="30" customHeight="1" x14ac:dyDescent="0.25"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</row>
    <row r="87" spans="16:38" ht="30" customHeight="1" x14ac:dyDescent="0.25"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</row>
    <row r="88" spans="16:38" ht="30" customHeight="1" x14ac:dyDescent="0.25"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</row>
    <row r="89" spans="16:38" ht="30" customHeight="1" x14ac:dyDescent="0.25"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</row>
    <row r="90" spans="16:38" ht="30" customHeight="1" x14ac:dyDescent="0.25"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</row>
    <row r="91" spans="16:38" ht="30" customHeight="1" x14ac:dyDescent="0.25"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</row>
    <row r="92" spans="16:38" ht="30" customHeight="1" x14ac:dyDescent="0.25"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</row>
    <row r="93" spans="16:38" ht="30" customHeight="1" x14ac:dyDescent="0.25"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</row>
    <row r="94" spans="16:38" ht="30" customHeight="1" x14ac:dyDescent="0.25"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</row>
    <row r="95" spans="16:38" ht="30" customHeight="1" x14ac:dyDescent="0.25"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</row>
    <row r="96" spans="16:38" ht="30" customHeight="1" x14ac:dyDescent="0.25"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</row>
    <row r="97" spans="16:38" ht="30" customHeight="1" x14ac:dyDescent="0.25"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</row>
    <row r="98" spans="16:38" ht="30" customHeight="1" x14ac:dyDescent="0.25"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</row>
  </sheetData>
  <sheetProtection password="CF7A"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Group Box 1">
              <controlPr defaultSize="0" autoFill="0" autoPict="0">
                <anchor>
                  <from>
                    <xdr:col>4</xdr:col>
                    <xdr:colOff>190500</xdr:colOff>
                    <xdr:row>7</xdr:row>
                    <xdr:rowOff>57150</xdr:rowOff>
                  </from>
                  <to>
                    <xdr:col>35</xdr:col>
                    <xdr:colOff>9525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Option Button 2">
              <controlPr defaultSize="0" autoFill="0" autoLine="0" autoPict="0">
                <anchor>
                  <from>
                    <xdr:col>4</xdr:col>
                    <xdr:colOff>323850</xdr:colOff>
                    <xdr:row>7</xdr:row>
                    <xdr:rowOff>190500</xdr:rowOff>
                  </from>
                  <to>
                    <xdr:col>34</xdr:col>
                    <xdr:colOff>209550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Option Button 3">
              <controlPr defaultSize="0" autoFill="0" autoLine="0" autoPict="0" altText="мне в школе не очень нравится;">
                <anchor>
                  <from>
                    <xdr:col>4</xdr:col>
                    <xdr:colOff>323850</xdr:colOff>
                    <xdr:row>9</xdr:row>
                    <xdr:rowOff>266700</xdr:rowOff>
                  </from>
                  <to>
                    <xdr:col>34</xdr:col>
                    <xdr:colOff>152400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Option Button 4">
              <controlPr defaultSize="0" autoFill="0" autoLine="0" autoPict="0" altText="мне в школе не очень нравится;">
                <anchor>
                  <from>
                    <xdr:col>4</xdr:col>
                    <xdr:colOff>323850</xdr:colOff>
                    <xdr:row>11</xdr:row>
                    <xdr:rowOff>295275</xdr:rowOff>
                  </from>
                  <to>
                    <xdr:col>34</xdr:col>
                    <xdr:colOff>161925</xdr:colOff>
                    <xdr:row>12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2:AL98"/>
  <sheetViews>
    <sheetView showGridLines="0" showRowColHeaders="0" workbookViewId="0">
      <selection activeCell="E2" sqref="E2:AI2"/>
    </sheetView>
  </sheetViews>
  <sheetFormatPr defaultColWidth="5.7109375" defaultRowHeight="30" customHeight="1" x14ac:dyDescent="0.25"/>
  <cols>
    <col min="1" max="16384" width="5.7109375" style="5"/>
  </cols>
  <sheetData>
    <row r="2" spans="1:38" ht="30" customHeight="1" x14ac:dyDescent="0.25">
      <c r="A2" s="19"/>
      <c r="C2" s="20"/>
    </row>
    <row r="3" spans="1:38" ht="30" customHeight="1" x14ac:dyDescent="0.3">
      <c r="B3" s="21"/>
      <c r="D3" s="22"/>
      <c r="H3" s="23"/>
      <c r="I3" s="23"/>
      <c r="J3" s="23"/>
      <c r="K3" s="23"/>
      <c r="L3" s="23"/>
      <c r="M3" s="24"/>
      <c r="N3" s="24"/>
      <c r="O3" s="24"/>
      <c r="W3" s="4"/>
      <c r="X3" s="4"/>
      <c r="Y3" s="3"/>
      <c r="Z3" s="9"/>
      <c r="AA3" s="9"/>
      <c r="AB3" s="25"/>
      <c r="AC3" s="30"/>
      <c r="AD3" s="10"/>
      <c r="AE3" s="10"/>
      <c r="AF3" s="4"/>
      <c r="AG3" s="4"/>
      <c r="AH3" s="4"/>
      <c r="AI3" s="4"/>
      <c r="AJ3" s="4"/>
      <c r="AK3" s="4"/>
      <c r="AL3" s="4"/>
    </row>
    <row r="4" spans="1:38" ht="30" customHeight="1" x14ac:dyDescent="0.25">
      <c r="W4" s="4"/>
      <c r="X4" s="4"/>
      <c r="Y4" s="3"/>
      <c r="Z4" s="3"/>
      <c r="AA4" s="3"/>
      <c r="AB4" s="9"/>
      <c r="AC4" s="10"/>
      <c r="AD4" s="10"/>
      <c r="AE4" s="10"/>
      <c r="AF4" s="4"/>
      <c r="AG4" s="4"/>
      <c r="AH4" s="4"/>
      <c r="AI4" s="4"/>
      <c r="AJ4" s="4"/>
      <c r="AK4" s="4"/>
      <c r="AL4" s="4"/>
    </row>
    <row r="5" spans="1:38" ht="30" customHeight="1" x14ac:dyDescent="0.25">
      <c r="C5" s="26"/>
      <c r="D5" s="27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9"/>
      <c r="W5" s="29"/>
      <c r="X5" s="29"/>
      <c r="Y5" s="3"/>
      <c r="Z5" s="9"/>
      <c r="AA5" s="14">
        <v>2</v>
      </c>
      <c r="AB5" s="9"/>
      <c r="AC5" s="10"/>
      <c r="AD5" s="10"/>
      <c r="AE5" s="10"/>
      <c r="AF5" s="4"/>
      <c r="AG5" s="4"/>
      <c r="AH5" s="4"/>
      <c r="AI5" s="4"/>
      <c r="AJ5" s="4"/>
      <c r="AK5" s="4"/>
      <c r="AL5" s="4"/>
    </row>
    <row r="6" spans="1:38" ht="30" customHeight="1" x14ac:dyDescent="0.25">
      <c r="M6" s="4"/>
      <c r="N6" s="4"/>
      <c r="O6" s="4"/>
      <c r="P6" s="4"/>
      <c r="Q6" s="4"/>
      <c r="R6" s="4"/>
      <c r="S6" s="4"/>
      <c r="T6" s="4"/>
      <c r="U6" s="4"/>
      <c r="V6" s="29"/>
      <c r="W6" s="29"/>
      <c r="X6" s="29"/>
      <c r="Y6" s="3"/>
      <c r="Z6" s="9"/>
      <c r="AA6" s="9"/>
      <c r="AB6" s="9"/>
      <c r="AC6" s="10"/>
      <c r="AD6" s="10"/>
      <c r="AE6" s="10"/>
      <c r="AF6" s="4"/>
      <c r="AG6" s="4"/>
      <c r="AH6" s="4"/>
      <c r="AI6" s="4"/>
      <c r="AJ6" s="4"/>
      <c r="AK6" s="4"/>
      <c r="AL6" s="4"/>
    </row>
    <row r="7" spans="1:38" ht="30" customHeight="1" x14ac:dyDescent="0.3">
      <c r="B7" s="17"/>
      <c r="C7" s="18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3"/>
      <c r="Z7" s="9"/>
      <c r="AA7" s="9"/>
      <c r="AB7" s="9"/>
      <c r="AC7" s="10"/>
      <c r="AD7" s="10"/>
      <c r="AE7" s="10"/>
      <c r="AF7" s="4"/>
      <c r="AG7" s="4"/>
      <c r="AH7" s="4"/>
      <c r="AI7" s="4"/>
      <c r="AJ7" s="4"/>
      <c r="AK7" s="4"/>
      <c r="AL7" s="4"/>
    </row>
    <row r="8" spans="1:38" ht="30" customHeight="1" x14ac:dyDescent="0.3">
      <c r="B8" s="17"/>
      <c r="C8" s="18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3"/>
      <c r="Z8" s="9"/>
      <c r="AA8" s="9"/>
      <c r="AB8" s="9"/>
      <c r="AC8" s="10"/>
      <c r="AD8" s="10"/>
      <c r="AE8" s="10"/>
      <c r="AF8" s="4"/>
      <c r="AG8" s="4"/>
      <c r="AH8" s="4"/>
      <c r="AI8" s="4"/>
      <c r="AJ8" s="4"/>
      <c r="AK8" s="4"/>
      <c r="AL8" s="4"/>
    </row>
    <row r="9" spans="1:38" ht="30" customHeight="1" x14ac:dyDescent="0.25"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3"/>
      <c r="Z9" s="9"/>
      <c r="AA9" s="9"/>
      <c r="AB9" s="9"/>
      <c r="AC9" s="10"/>
      <c r="AD9" s="10"/>
      <c r="AE9" s="10"/>
      <c r="AF9" s="4"/>
      <c r="AG9" s="4"/>
      <c r="AH9" s="4"/>
      <c r="AI9" s="4"/>
      <c r="AJ9" s="4"/>
      <c r="AK9" s="4"/>
      <c r="AL9" s="4"/>
    </row>
    <row r="10" spans="1:38" ht="30" customHeight="1" x14ac:dyDescent="0.25"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3"/>
      <c r="Z10" s="9"/>
      <c r="AA10" s="9"/>
      <c r="AB10" s="3"/>
      <c r="AC10" s="4"/>
      <c r="AD10" s="4"/>
      <c r="AE10" s="4"/>
      <c r="AF10" s="4"/>
      <c r="AG10" s="4"/>
      <c r="AH10" s="4"/>
      <c r="AI10" s="4"/>
      <c r="AJ10" s="4"/>
      <c r="AK10" s="4"/>
      <c r="AL10" s="4"/>
    </row>
    <row r="11" spans="1:38" ht="30" customHeight="1" x14ac:dyDescent="0.25"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3"/>
      <c r="Z11" s="9"/>
      <c r="AA11" s="9"/>
      <c r="AB11" s="3"/>
      <c r="AC11" s="4"/>
      <c r="AD11" s="4"/>
      <c r="AE11" s="4"/>
      <c r="AF11" s="4"/>
      <c r="AG11" s="4"/>
      <c r="AH11" s="4"/>
      <c r="AI11" s="4"/>
      <c r="AJ11" s="4"/>
      <c r="AK11" s="4"/>
      <c r="AL11" s="4"/>
    </row>
    <row r="12" spans="1:38" ht="30" customHeight="1" x14ac:dyDescent="0.25"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3"/>
      <c r="Z12" s="9"/>
      <c r="AA12" s="9"/>
      <c r="AB12" s="3"/>
      <c r="AC12" s="4"/>
      <c r="AD12" s="4"/>
      <c r="AE12" s="4"/>
      <c r="AF12" s="4"/>
      <c r="AG12" s="4"/>
      <c r="AH12" s="4"/>
      <c r="AI12" s="4"/>
      <c r="AJ12" s="4"/>
      <c r="AK12" s="4"/>
      <c r="AL12" s="4"/>
    </row>
    <row r="13" spans="1:38" ht="30" customHeight="1" x14ac:dyDescent="0.25"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3"/>
      <c r="Z13" s="9"/>
      <c r="AA13" s="9"/>
      <c r="AB13" s="3"/>
      <c r="AC13" s="4"/>
      <c r="AD13" s="4"/>
      <c r="AE13" s="4"/>
      <c r="AF13" s="4"/>
      <c r="AG13" s="4"/>
      <c r="AH13" s="4"/>
      <c r="AI13" s="4"/>
      <c r="AJ13" s="4"/>
      <c r="AK13" s="4"/>
      <c r="AL13" s="4"/>
    </row>
    <row r="14" spans="1:38" ht="30" customHeight="1" x14ac:dyDescent="0.25"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3"/>
      <c r="Z14" s="3"/>
      <c r="AA14" s="3"/>
      <c r="AB14" s="3"/>
      <c r="AC14" s="4"/>
      <c r="AD14" s="4"/>
      <c r="AE14" s="4"/>
      <c r="AF14" s="4"/>
      <c r="AG14" s="4"/>
      <c r="AH14" s="4"/>
      <c r="AI14" s="4"/>
      <c r="AJ14" s="4"/>
      <c r="AK14" s="4"/>
      <c r="AL14" s="4"/>
    </row>
    <row r="15" spans="1:38" ht="30" customHeight="1" x14ac:dyDescent="0.25"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3"/>
      <c r="Z15" s="3"/>
      <c r="AA15" s="3"/>
      <c r="AB15" s="3"/>
      <c r="AC15" s="4"/>
      <c r="AD15" s="4"/>
      <c r="AE15" s="4"/>
      <c r="AF15" s="4"/>
      <c r="AG15" s="4"/>
      <c r="AH15" s="4"/>
      <c r="AI15" s="4"/>
      <c r="AJ15" s="4"/>
      <c r="AK15" s="4"/>
      <c r="AL15" s="4"/>
    </row>
    <row r="16" spans="1:38" ht="30" customHeight="1" x14ac:dyDescent="0.25"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3"/>
      <c r="Z16" s="3"/>
      <c r="AA16" s="3"/>
      <c r="AB16" s="3"/>
      <c r="AC16" s="4"/>
      <c r="AD16" s="4"/>
      <c r="AE16" s="4"/>
      <c r="AF16" s="4"/>
      <c r="AG16" s="4"/>
      <c r="AH16" s="4"/>
      <c r="AI16" s="4"/>
      <c r="AJ16" s="4"/>
      <c r="AK16" s="4"/>
      <c r="AL16" s="4"/>
    </row>
    <row r="17" spans="13:38" ht="30" customHeight="1" x14ac:dyDescent="0.25"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3"/>
      <c r="Z17" s="3"/>
      <c r="AA17" s="3"/>
      <c r="AB17" s="3"/>
      <c r="AC17" s="4"/>
      <c r="AD17" s="4"/>
      <c r="AE17" s="4"/>
      <c r="AF17" s="4"/>
      <c r="AG17" s="4"/>
      <c r="AH17" s="4"/>
      <c r="AI17" s="4"/>
      <c r="AJ17" s="4"/>
      <c r="AK17" s="4"/>
      <c r="AL17" s="4"/>
    </row>
    <row r="18" spans="13:38" ht="30" customHeight="1" x14ac:dyDescent="0.25"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3"/>
      <c r="Z18" s="2"/>
      <c r="AA18" s="2"/>
      <c r="AB18" s="2"/>
      <c r="AF18" s="4"/>
      <c r="AG18" s="4"/>
      <c r="AH18" s="4"/>
      <c r="AI18" s="4"/>
      <c r="AJ18" s="4"/>
      <c r="AK18" s="4"/>
      <c r="AL18" s="4"/>
    </row>
    <row r="19" spans="13:38" ht="30" customHeight="1" x14ac:dyDescent="0.25"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3"/>
      <c r="Z19" s="2"/>
      <c r="AA19" s="2"/>
      <c r="AB19" s="2"/>
      <c r="AF19" s="4"/>
      <c r="AG19" s="4"/>
      <c r="AH19" s="4"/>
      <c r="AI19" s="4"/>
      <c r="AJ19" s="4"/>
      <c r="AK19" s="4"/>
      <c r="AL19" s="4"/>
    </row>
    <row r="20" spans="13:38" ht="30" customHeight="1" x14ac:dyDescent="0.25"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3"/>
      <c r="Z20" s="2"/>
      <c r="AA20" s="2"/>
      <c r="AB20" s="2"/>
      <c r="AF20" s="4"/>
      <c r="AG20" s="4"/>
      <c r="AH20" s="4"/>
      <c r="AI20" s="4"/>
      <c r="AJ20" s="4"/>
      <c r="AK20" s="4"/>
      <c r="AL20" s="4"/>
    </row>
    <row r="21" spans="13:38" ht="30" customHeight="1" x14ac:dyDescent="0.25"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AF21" s="4"/>
      <c r="AG21" s="4"/>
      <c r="AH21" s="4"/>
      <c r="AI21" s="4"/>
      <c r="AJ21" s="4"/>
      <c r="AK21" s="4"/>
      <c r="AL21" s="4"/>
    </row>
    <row r="22" spans="13:38" ht="30" customHeight="1" x14ac:dyDescent="0.25"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AF22" s="4"/>
      <c r="AG22" s="4"/>
      <c r="AH22" s="4"/>
      <c r="AI22" s="4"/>
      <c r="AJ22" s="4"/>
      <c r="AK22" s="4"/>
      <c r="AL22" s="4"/>
    </row>
    <row r="23" spans="13:38" ht="30" customHeight="1" x14ac:dyDescent="0.25"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AF23" s="4"/>
      <c r="AG23" s="4"/>
      <c r="AH23" s="4"/>
      <c r="AI23" s="4"/>
      <c r="AJ23" s="4"/>
      <c r="AK23" s="4"/>
      <c r="AL23" s="4"/>
    </row>
    <row r="24" spans="13:38" ht="30" customHeight="1" x14ac:dyDescent="0.25"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AF24" s="4"/>
      <c r="AG24" s="4"/>
      <c r="AH24" s="4"/>
      <c r="AI24" s="4"/>
      <c r="AJ24" s="4"/>
      <c r="AK24" s="4"/>
      <c r="AL24" s="4"/>
    </row>
    <row r="25" spans="13:38" ht="30" customHeight="1" x14ac:dyDescent="0.25"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AF25" s="4"/>
      <c r="AG25" s="4"/>
      <c r="AH25" s="4"/>
      <c r="AI25" s="4"/>
      <c r="AJ25" s="4"/>
      <c r="AK25" s="4"/>
      <c r="AL25" s="4"/>
    </row>
    <row r="26" spans="13:38" ht="30" customHeight="1" x14ac:dyDescent="0.25"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AF26" s="4"/>
      <c r="AG26" s="4"/>
      <c r="AH26" s="4"/>
      <c r="AI26" s="4"/>
      <c r="AJ26" s="4"/>
      <c r="AK26" s="4"/>
      <c r="AL26" s="4"/>
    </row>
    <row r="27" spans="13:38" ht="30" customHeight="1" x14ac:dyDescent="0.25">
      <c r="P27" s="4"/>
      <c r="Q27" s="4"/>
      <c r="R27" s="4"/>
      <c r="S27" s="4"/>
      <c r="T27" s="4"/>
      <c r="U27" s="4"/>
      <c r="V27" s="4"/>
      <c r="W27" s="4"/>
      <c r="X27" s="4"/>
      <c r="Y27" s="4"/>
      <c r="AF27" s="4"/>
      <c r="AG27" s="4"/>
      <c r="AH27" s="4"/>
      <c r="AI27" s="4"/>
      <c r="AJ27" s="4"/>
      <c r="AK27" s="4"/>
      <c r="AL27" s="4"/>
    </row>
    <row r="28" spans="13:38" ht="30" customHeight="1" x14ac:dyDescent="0.25">
      <c r="V28" s="4"/>
      <c r="W28" s="4"/>
      <c r="X28" s="4"/>
      <c r="Y28" s="4"/>
      <c r="AF28" s="4"/>
      <c r="AG28" s="4"/>
      <c r="AH28" s="4"/>
      <c r="AI28" s="4"/>
      <c r="AJ28" s="4"/>
      <c r="AK28" s="4"/>
      <c r="AL28" s="4"/>
    </row>
    <row r="29" spans="13:38" ht="30" customHeight="1" x14ac:dyDescent="0.25">
      <c r="V29" s="4"/>
      <c r="W29" s="4"/>
      <c r="X29" s="4"/>
      <c r="Y29" s="4"/>
      <c r="AF29" s="4"/>
      <c r="AG29" s="4"/>
      <c r="AH29" s="4"/>
      <c r="AI29" s="4"/>
      <c r="AJ29" s="4"/>
      <c r="AK29" s="4"/>
      <c r="AL29" s="4"/>
    </row>
    <row r="30" spans="13:38" ht="30" customHeight="1" x14ac:dyDescent="0.25">
      <c r="V30" s="4"/>
      <c r="W30" s="4"/>
      <c r="X30" s="4"/>
      <c r="Y30" s="4"/>
      <c r="AF30" s="4"/>
      <c r="AG30" s="4"/>
      <c r="AH30" s="4"/>
      <c r="AI30" s="4"/>
      <c r="AJ30" s="4"/>
      <c r="AK30" s="4"/>
      <c r="AL30" s="4"/>
    </row>
    <row r="31" spans="13:38" ht="30" customHeight="1" x14ac:dyDescent="0.25">
      <c r="P31" s="4"/>
      <c r="Q31" s="4"/>
      <c r="R31" s="4"/>
      <c r="S31" s="4"/>
      <c r="T31" s="4"/>
      <c r="U31" s="4"/>
      <c r="V31" s="4"/>
      <c r="W31" s="4"/>
      <c r="X31" s="4"/>
      <c r="Y31" s="4"/>
      <c r="AF31" s="4"/>
      <c r="AG31" s="4"/>
      <c r="AH31" s="4"/>
      <c r="AI31" s="4"/>
      <c r="AJ31" s="4"/>
      <c r="AK31" s="4"/>
      <c r="AL31" s="4"/>
    </row>
    <row r="32" spans="13:38" ht="30" customHeight="1" x14ac:dyDescent="0.25">
      <c r="V32" s="4"/>
      <c r="W32" s="4"/>
      <c r="X32" s="4"/>
      <c r="Y32" s="4"/>
      <c r="AF32" s="4"/>
      <c r="AG32" s="4"/>
      <c r="AH32" s="4"/>
      <c r="AI32" s="4"/>
      <c r="AJ32" s="4"/>
      <c r="AK32" s="4"/>
      <c r="AL32" s="4"/>
    </row>
    <row r="33" spans="22:38" ht="30" customHeight="1" x14ac:dyDescent="0.25">
      <c r="V33" s="4"/>
      <c r="W33" s="4"/>
      <c r="X33" s="4"/>
      <c r="Y33" s="4"/>
      <c r="AF33" s="4"/>
      <c r="AG33" s="4"/>
      <c r="AH33" s="4"/>
      <c r="AI33" s="4"/>
      <c r="AJ33" s="4"/>
      <c r="AK33" s="4"/>
      <c r="AL33" s="4"/>
    </row>
    <row r="34" spans="22:38" ht="30" customHeight="1" x14ac:dyDescent="0.25">
      <c r="V34" s="4"/>
      <c r="W34" s="4"/>
      <c r="X34" s="4"/>
      <c r="Y34" s="4"/>
      <c r="AF34" s="4"/>
      <c r="AG34" s="4"/>
      <c r="AH34" s="4"/>
      <c r="AI34" s="4"/>
      <c r="AJ34" s="4"/>
      <c r="AK34" s="4"/>
      <c r="AL34" s="4"/>
    </row>
    <row r="35" spans="22:38" ht="30" customHeight="1" x14ac:dyDescent="0.25">
      <c r="W35" s="4"/>
      <c r="X35" s="4"/>
      <c r="Y35" s="4"/>
      <c r="AF35" s="4"/>
      <c r="AG35" s="4"/>
      <c r="AH35" s="4"/>
      <c r="AI35" s="4"/>
      <c r="AJ35" s="4"/>
      <c r="AK35" s="4"/>
      <c r="AL35" s="4"/>
    </row>
    <row r="36" spans="22:38" ht="30" customHeight="1" x14ac:dyDescent="0.25">
      <c r="W36" s="4"/>
      <c r="X36" s="4"/>
      <c r="Y36" s="4"/>
      <c r="AF36" s="4"/>
      <c r="AG36" s="4"/>
      <c r="AH36" s="4"/>
      <c r="AI36" s="4"/>
      <c r="AJ36" s="4"/>
      <c r="AK36" s="4"/>
      <c r="AL36" s="4"/>
    </row>
    <row r="37" spans="22:38" ht="30" customHeight="1" x14ac:dyDescent="0.25">
      <c r="W37" s="4"/>
      <c r="X37" s="4"/>
      <c r="Y37" s="4"/>
      <c r="AF37" s="4"/>
      <c r="AG37" s="4"/>
      <c r="AH37" s="4"/>
      <c r="AI37" s="4"/>
      <c r="AJ37" s="4"/>
      <c r="AK37" s="4"/>
      <c r="AL37" s="4"/>
    </row>
    <row r="38" spans="22:38" ht="30" customHeight="1" x14ac:dyDescent="0.25"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</row>
    <row r="39" spans="22:38" ht="30" customHeight="1" x14ac:dyDescent="0.25"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</row>
    <row r="40" spans="22:38" ht="30" customHeight="1" x14ac:dyDescent="0.25"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</row>
    <row r="41" spans="22:38" ht="30" customHeight="1" x14ac:dyDescent="0.25"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</row>
    <row r="42" spans="22:38" ht="30" customHeight="1" x14ac:dyDescent="0.25"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</row>
    <row r="43" spans="22:38" ht="30" customHeight="1" x14ac:dyDescent="0.25"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</row>
    <row r="44" spans="22:38" ht="30" customHeight="1" x14ac:dyDescent="0.25"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</row>
    <row r="45" spans="22:38" ht="30" customHeight="1" x14ac:dyDescent="0.25"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</row>
    <row r="46" spans="22:38" ht="30" customHeight="1" x14ac:dyDescent="0.25"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</row>
    <row r="47" spans="22:38" ht="30" customHeight="1" x14ac:dyDescent="0.25"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</row>
    <row r="48" spans="22:38" ht="30" customHeight="1" x14ac:dyDescent="0.25"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</row>
    <row r="49" spans="16:38" ht="30" customHeight="1" x14ac:dyDescent="0.25"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</row>
    <row r="50" spans="16:38" ht="30" customHeight="1" x14ac:dyDescent="0.25"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</row>
    <row r="51" spans="16:38" ht="30" customHeight="1" x14ac:dyDescent="0.25"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</row>
    <row r="52" spans="16:38" ht="30" customHeight="1" x14ac:dyDescent="0.25"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</row>
    <row r="53" spans="16:38" ht="30" customHeight="1" x14ac:dyDescent="0.25"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</row>
    <row r="54" spans="16:38" ht="30" customHeight="1" x14ac:dyDescent="0.25"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</row>
    <row r="55" spans="16:38" ht="30" customHeight="1" x14ac:dyDescent="0.25"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</row>
    <row r="56" spans="16:38" ht="30" customHeight="1" x14ac:dyDescent="0.25"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</row>
    <row r="57" spans="16:38" ht="30" customHeight="1" x14ac:dyDescent="0.25"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</row>
    <row r="58" spans="16:38" ht="30" customHeight="1" x14ac:dyDescent="0.25"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</row>
    <row r="59" spans="16:38" ht="30" customHeight="1" x14ac:dyDescent="0.25"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</row>
    <row r="60" spans="16:38" ht="30" customHeight="1" x14ac:dyDescent="0.25"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</row>
    <row r="61" spans="16:38" ht="30" customHeight="1" x14ac:dyDescent="0.25"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</row>
    <row r="62" spans="16:38" ht="30" customHeight="1" x14ac:dyDescent="0.25"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</row>
    <row r="63" spans="16:38" ht="30" customHeight="1" x14ac:dyDescent="0.25"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</row>
    <row r="64" spans="16:38" ht="30" customHeight="1" x14ac:dyDescent="0.25"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</row>
    <row r="65" spans="16:38" ht="30" customHeight="1" x14ac:dyDescent="0.25"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</row>
    <row r="66" spans="16:38" ht="30" customHeight="1" x14ac:dyDescent="0.25"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</row>
    <row r="67" spans="16:38" ht="30" customHeight="1" x14ac:dyDescent="0.25"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</row>
    <row r="68" spans="16:38" ht="30" customHeight="1" x14ac:dyDescent="0.25"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</row>
    <row r="69" spans="16:38" ht="30" customHeight="1" x14ac:dyDescent="0.25"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</row>
    <row r="70" spans="16:38" ht="30" customHeight="1" x14ac:dyDescent="0.25"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</row>
    <row r="71" spans="16:38" ht="30" customHeight="1" x14ac:dyDescent="0.25"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</row>
    <row r="72" spans="16:38" ht="30" customHeight="1" x14ac:dyDescent="0.25"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</row>
    <row r="73" spans="16:38" ht="30" customHeight="1" x14ac:dyDescent="0.25"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</row>
    <row r="74" spans="16:38" ht="30" customHeight="1" x14ac:dyDescent="0.25"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</row>
    <row r="75" spans="16:38" ht="30" customHeight="1" x14ac:dyDescent="0.25"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</row>
    <row r="76" spans="16:38" ht="30" customHeight="1" x14ac:dyDescent="0.25"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</row>
    <row r="77" spans="16:38" ht="30" customHeight="1" x14ac:dyDescent="0.25"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</row>
    <row r="78" spans="16:38" ht="30" customHeight="1" x14ac:dyDescent="0.25"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</row>
    <row r="79" spans="16:38" ht="30" customHeight="1" x14ac:dyDescent="0.25"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</row>
    <row r="80" spans="16:38" ht="30" customHeight="1" x14ac:dyDescent="0.25"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</row>
    <row r="81" spans="16:38" ht="30" customHeight="1" x14ac:dyDescent="0.25"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</row>
    <row r="82" spans="16:38" ht="30" customHeight="1" x14ac:dyDescent="0.25"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</row>
    <row r="83" spans="16:38" ht="30" customHeight="1" x14ac:dyDescent="0.25"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</row>
    <row r="84" spans="16:38" ht="30" customHeight="1" x14ac:dyDescent="0.25"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</row>
    <row r="85" spans="16:38" ht="30" customHeight="1" x14ac:dyDescent="0.25"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</row>
    <row r="86" spans="16:38" ht="30" customHeight="1" x14ac:dyDescent="0.25"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</row>
    <row r="87" spans="16:38" ht="30" customHeight="1" x14ac:dyDescent="0.25"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</row>
    <row r="88" spans="16:38" ht="30" customHeight="1" x14ac:dyDescent="0.25"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</row>
    <row r="89" spans="16:38" ht="30" customHeight="1" x14ac:dyDescent="0.25"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</row>
    <row r="90" spans="16:38" ht="30" customHeight="1" x14ac:dyDescent="0.25"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</row>
    <row r="91" spans="16:38" ht="30" customHeight="1" x14ac:dyDescent="0.25"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</row>
    <row r="92" spans="16:38" ht="30" customHeight="1" x14ac:dyDescent="0.25"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</row>
    <row r="93" spans="16:38" ht="30" customHeight="1" x14ac:dyDescent="0.25"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</row>
    <row r="94" spans="16:38" ht="30" customHeight="1" x14ac:dyDescent="0.25"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</row>
    <row r="95" spans="16:38" ht="30" customHeight="1" x14ac:dyDescent="0.25"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</row>
    <row r="96" spans="16:38" ht="30" customHeight="1" x14ac:dyDescent="0.25"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</row>
    <row r="97" spans="16:38" ht="30" customHeight="1" x14ac:dyDescent="0.25"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</row>
    <row r="98" spans="16:38" ht="30" customHeight="1" x14ac:dyDescent="0.25"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</row>
  </sheetData>
  <sheetProtection algorithmName="SHA-512" hashValue="1IKg4Utlygp78ieoh9bPIW+McfTr6+utznqzjxqOBpa0UKDLqn6GBw9ab1M0MyVOX4ttM2ABGYhW9PVV3iFuhQ==" saltValue="KaIFQXktkujP4pvmR/hcNQ==" spinCount="100000"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Group Box 1">
              <controlPr defaultSize="0" autoFill="0" autoPict="0">
                <anchor>
                  <from>
                    <xdr:col>4</xdr:col>
                    <xdr:colOff>190500</xdr:colOff>
                    <xdr:row>7</xdr:row>
                    <xdr:rowOff>57150</xdr:rowOff>
                  </from>
                  <to>
                    <xdr:col>35</xdr:col>
                    <xdr:colOff>9525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Option Button 2">
              <controlPr defaultSize="0" autoFill="0" autoLine="0" autoPict="0">
                <anchor>
                  <from>
                    <xdr:col>4</xdr:col>
                    <xdr:colOff>323850</xdr:colOff>
                    <xdr:row>7</xdr:row>
                    <xdr:rowOff>190500</xdr:rowOff>
                  </from>
                  <to>
                    <xdr:col>34</xdr:col>
                    <xdr:colOff>209550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Option Button 3">
              <controlPr defaultSize="0" autoFill="0" autoLine="0" autoPict="0" altText="мне в школе не очень нравится;">
                <anchor>
                  <from>
                    <xdr:col>4</xdr:col>
                    <xdr:colOff>323850</xdr:colOff>
                    <xdr:row>9</xdr:row>
                    <xdr:rowOff>266700</xdr:rowOff>
                  </from>
                  <to>
                    <xdr:col>34</xdr:col>
                    <xdr:colOff>152400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Option Button 4">
              <controlPr defaultSize="0" autoFill="0" autoLine="0" autoPict="0" altText="">
                <anchor>
                  <from>
                    <xdr:col>4</xdr:col>
                    <xdr:colOff>323850</xdr:colOff>
                    <xdr:row>11</xdr:row>
                    <xdr:rowOff>295275</xdr:rowOff>
                  </from>
                  <to>
                    <xdr:col>34</xdr:col>
                    <xdr:colOff>161925</xdr:colOff>
                    <xdr:row>12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2:AL98"/>
  <sheetViews>
    <sheetView showGridLines="0" showRowColHeaders="0" workbookViewId="0">
      <selection activeCell="E2" sqref="E2:AI2"/>
    </sheetView>
  </sheetViews>
  <sheetFormatPr defaultColWidth="5.7109375" defaultRowHeight="30" customHeight="1" x14ac:dyDescent="0.25"/>
  <cols>
    <col min="1" max="16384" width="5.7109375" style="5"/>
  </cols>
  <sheetData>
    <row r="2" spans="1:38" ht="30" customHeight="1" x14ac:dyDescent="0.25">
      <c r="A2" s="19"/>
      <c r="C2" s="20"/>
    </row>
    <row r="3" spans="1:38" ht="30" customHeight="1" x14ac:dyDescent="0.3">
      <c r="B3" s="21"/>
      <c r="D3" s="22"/>
      <c r="H3" s="23"/>
      <c r="I3" s="23"/>
      <c r="J3" s="23"/>
      <c r="K3" s="23"/>
      <c r="L3" s="23"/>
      <c r="M3" s="24"/>
      <c r="N3" s="24"/>
      <c r="O3" s="24"/>
      <c r="Y3" s="4"/>
      <c r="Z3" s="10"/>
      <c r="AA3" s="10"/>
      <c r="AB3" s="30"/>
      <c r="AC3" s="30"/>
      <c r="AD3" s="10"/>
      <c r="AE3" s="10"/>
      <c r="AF3" s="4"/>
      <c r="AG3" s="4"/>
      <c r="AH3" s="4"/>
      <c r="AI3" s="4"/>
      <c r="AJ3" s="4"/>
      <c r="AK3" s="4"/>
      <c r="AL3" s="4"/>
    </row>
    <row r="4" spans="1:38" ht="30" customHeight="1" x14ac:dyDescent="0.25">
      <c r="Y4" s="4"/>
      <c r="AB4" s="10"/>
      <c r="AC4" s="10"/>
      <c r="AD4" s="10"/>
      <c r="AE4" s="10"/>
      <c r="AF4" s="4"/>
      <c r="AG4" s="4"/>
      <c r="AH4" s="4"/>
      <c r="AI4" s="4"/>
      <c r="AJ4" s="4"/>
      <c r="AK4" s="4"/>
      <c r="AL4" s="4"/>
    </row>
    <row r="5" spans="1:38" ht="30" customHeight="1" x14ac:dyDescent="0.25">
      <c r="C5" s="26"/>
      <c r="D5" s="27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9"/>
      <c r="W5" s="29"/>
      <c r="X5" s="29"/>
      <c r="Y5" s="4"/>
      <c r="Z5" s="10"/>
      <c r="AA5" s="14">
        <v>2</v>
      </c>
      <c r="AB5" s="10"/>
      <c r="AC5" s="10"/>
      <c r="AD5" s="10"/>
      <c r="AE5" s="10"/>
      <c r="AF5" s="4"/>
      <c r="AG5" s="4"/>
      <c r="AH5" s="4"/>
      <c r="AI5" s="4"/>
      <c r="AJ5" s="4"/>
      <c r="AK5" s="4"/>
      <c r="AL5" s="4"/>
    </row>
    <row r="6" spans="1:38" ht="30" customHeight="1" x14ac:dyDescent="0.25">
      <c r="M6" s="4"/>
      <c r="N6" s="4"/>
      <c r="O6" s="4"/>
      <c r="P6" s="4"/>
      <c r="Q6" s="4"/>
      <c r="R6" s="4"/>
      <c r="S6" s="4"/>
      <c r="T6" s="4"/>
      <c r="U6" s="4"/>
      <c r="V6" s="29"/>
      <c r="W6" s="29"/>
      <c r="X6" s="29"/>
      <c r="Y6" s="4"/>
      <c r="Z6" s="10"/>
      <c r="AA6" s="31"/>
      <c r="AB6" s="10"/>
      <c r="AC6" s="10"/>
      <c r="AD6" s="10"/>
      <c r="AE6" s="10"/>
      <c r="AF6" s="4"/>
      <c r="AG6" s="4"/>
      <c r="AH6" s="4"/>
      <c r="AI6" s="4"/>
      <c r="AJ6" s="4"/>
      <c r="AK6" s="4"/>
      <c r="AL6" s="4"/>
    </row>
    <row r="7" spans="1:38" ht="30" customHeight="1" x14ac:dyDescent="0.3">
      <c r="B7" s="17"/>
      <c r="C7" s="18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10"/>
      <c r="AA7" s="31"/>
      <c r="AB7" s="10"/>
      <c r="AC7" s="10"/>
      <c r="AD7" s="10"/>
      <c r="AE7" s="10"/>
      <c r="AF7" s="4"/>
      <c r="AG7" s="4"/>
      <c r="AH7" s="4"/>
      <c r="AI7" s="4"/>
      <c r="AJ7" s="4"/>
      <c r="AK7" s="4"/>
      <c r="AL7" s="4"/>
    </row>
    <row r="8" spans="1:38" ht="30" customHeight="1" x14ac:dyDescent="0.3">
      <c r="B8" s="17"/>
      <c r="C8" s="18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10"/>
      <c r="AA8" s="31"/>
      <c r="AB8" s="10"/>
      <c r="AC8" s="10"/>
      <c r="AD8" s="10"/>
      <c r="AE8" s="10"/>
      <c r="AF8" s="4"/>
      <c r="AG8" s="4"/>
      <c r="AH8" s="4"/>
      <c r="AI8" s="4"/>
      <c r="AJ8" s="4"/>
      <c r="AK8" s="4"/>
      <c r="AL8" s="4"/>
    </row>
    <row r="9" spans="1:38" ht="30" customHeight="1" x14ac:dyDescent="0.25"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10"/>
      <c r="AA9" s="31"/>
      <c r="AB9" s="10"/>
      <c r="AC9" s="10"/>
      <c r="AD9" s="10"/>
      <c r="AE9" s="10"/>
      <c r="AF9" s="4"/>
      <c r="AG9" s="4"/>
      <c r="AH9" s="4"/>
      <c r="AI9" s="4"/>
      <c r="AJ9" s="4"/>
      <c r="AK9" s="4"/>
      <c r="AL9" s="4"/>
    </row>
    <row r="10" spans="1:38" ht="30" customHeight="1" x14ac:dyDescent="0.25"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10"/>
      <c r="AA10" s="31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  <row r="11" spans="1:38" ht="30" customHeight="1" x14ac:dyDescent="0.25"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10"/>
      <c r="AA11" s="31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</row>
    <row r="12" spans="1:38" ht="30" customHeight="1" x14ac:dyDescent="0.25"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10"/>
      <c r="AA12" s="31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</row>
    <row r="13" spans="1:38" ht="30" customHeight="1" x14ac:dyDescent="0.25"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10"/>
      <c r="AA13" s="31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</row>
    <row r="14" spans="1:38" ht="30" customHeight="1" x14ac:dyDescent="0.25"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</row>
    <row r="15" spans="1:38" ht="30" customHeight="1" x14ac:dyDescent="0.25"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</row>
    <row r="16" spans="1:38" ht="30" customHeight="1" x14ac:dyDescent="0.25"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</row>
    <row r="17" spans="13:38" ht="30" customHeight="1" x14ac:dyDescent="0.25"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</row>
    <row r="18" spans="13:38" ht="30" customHeight="1" x14ac:dyDescent="0.25"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AF18" s="4"/>
      <c r="AG18" s="4"/>
      <c r="AH18" s="4"/>
      <c r="AI18" s="4"/>
      <c r="AJ18" s="4"/>
      <c r="AK18" s="4"/>
      <c r="AL18" s="4"/>
    </row>
    <row r="19" spans="13:38" ht="30" customHeight="1" x14ac:dyDescent="0.25"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AF19" s="4"/>
      <c r="AG19" s="4"/>
      <c r="AH19" s="4"/>
      <c r="AI19" s="4"/>
      <c r="AJ19" s="4"/>
      <c r="AK19" s="4"/>
      <c r="AL19" s="4"/>
    </row>
    <row r="20" spans="13:38" ht="30" customHeight="1" x14ac:dyDescent="0.25"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AF20" s="4"/>
      <c r="AG20" s="4"/>
      <c r="AH20" s="4"/>
      <c r="AI20" s="4"/>
      <c r="AJ20" s="4"/>
      <c r="AK20" s="4"/>
      <c r="AL20" s="4"/>
    </row>
    <row r="21" spans="13:38" ht="30" customHeight="1" x14ac:dyDescent="0.25"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AF21" s="4"/>
      <c r="AG21" s="4"/>
      <c r="AH21" s="4"/>
      <c r="AI21" s="4"/>
      <c r="AJ21" s="4"/>
      <c r="AK21" s="4"/>
      <c r="AL21" s="4"/>
    </row>
    <row r="22" spans="13:38" ht="30" customHeight="1" x14ac:dyDescent="0.25"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AF22" s="4"/>
      <c r="AG22" s="4"/>
      <c r="AH22" s="4"/>
      <c r="AI22" s="4"/>
      <c r="AJ22" s="4"/>
      <c r="AK22" s="4"/>
      <c r="AL22" s="4"/>
    </row>
    <row r="23" spans="13:38" ht="30" customHeight="1" x14ac:dyDescent="0.25"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AF23" s="4"/>
      <c r="AG23" s="4"/>
      <c r="AH23" s="4"/>
      <c r="AI23" s="4"/>
      <c r="AJ23" s="4"/>
      <c r="AK23" s="4"/>
      <c r="AL23" s="4"/>
    </row>
    <row r="24" spans="13:38" ht="30" customHeight="1" x14ac:dyDescent="0.25"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AF24" s="4"/>
      <c r="AG24" s="4"/>
      <c r="AH24" s="4"/>
      <c r="AI24" s="4"/>
      <c r="AJ24" s="4"/>
      <c r="AK24" s="4"/>
      <c r="AL24" s="4"/>
    </row>
    <row r="25" spans="13:38" ht="30" customHeight="1" x14ac:dyDescent="0.25"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AF25" s="4"/>
      <c r="AG25" s="4"/>
      <c r="AH25" s="4"/>
      <c r="AI25" s="4"/>
      <c r="AJ25" s="4"/>
      <c r="AK25" s="4"/>
      <c r="AL25" s="4"/>
    </row>
    <row r="26" spans="13:38" ht="30" customHeight="1" x14ac:dyDescent="0.25"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AF26" s="4"/>
      <c r="AG26" s="4"/>
      <c r="AH26" s="4"/>
      <c r="AI26" s="4"/>
      <c r="AJ26" s="4"/>
      <c r="AK26" s="4"/>
      <c r="AL26" s="4"/>
    </row>
    <row r="27" spans="13:38" ht="30" customHeight="1" x14ac:dyDescent="0.25">
      <c r="P27" s="4"/>
      <c r="Q27" s="4"/>
      <c r="R27" s="4"/>
      <c r="S27" s="4"/>
      <c r="T27" s="4"/>
      <c r="U27" s="4"/>
      <c r="V27" s="4"/>
      <c r="W27" s="4"/>
      <c r="X27" s="4"/>
      <c r="Y27" s="4"/>
      <c r="AF27" s="4"/>
      <c r="AG27" s="4"/>
      <c r="AH27" s="4"/>
      <c r="AI27" s="4"/>
      <c r="AJ27" s="4"/>
      <c r="AK27" s="4"/>
      <c r="AL27" s="4"/>
    </row>
    <row r="28" spans="13:38" ht="30" customHeight="1" x14ac:dyDescent="0.25">
      <c r="V28" s="4"/>
      <c r="W28" s="4"/>
      <c r="X28" s="4"/>
      <c r="Y28" s="4"/>
      <c r="AF28" s="4"/>
      <c r="AG28" s="4"/>
      <c r="AH28" s="4"/>
      <c r="AI28" s="4"/>
      <c r="AJ28" s="4"/>
      <c r="AK28" s="4"/>
      <c r="AL28" s="4"/>
    </row>
    <row r="29" spans="13:38" ht="30" customHeight="1" x14ac:dyDescent="0.25">
      <c r="V29" s="4"/>
      <c r="W29" s="4"/>
      <c r="X29" s="4"/>
      <c r="Y29" s="4"/>
      <c r="AF29" s="4"/>
      <c r="AG29" s="4"/>
      <c r="AH29" s="4"/>
      <c r="AI29" s="4"/>
      <c r="AJ29" s="4"/>
      <c r="AK29" s="4"/>
      <c r="AL29" s="4"/>
    </row>
    <row r="30" spans="13:38" ht="30" customHeight="1" x14ac:dyDescent="0.25">
      <c r="V30" s="4"/>
      <c r="W30" s="4"/>
      <c r="X30" s="4"/>
      <c r="Y30" s="4"/>
      <c r="AF30" s="4"/>
      <c r="AG30" s="4"/>
      <c r="AH30" s="4"/>
      <c r="AI30" s="4"/>
      <c r="AJ30" s="4"/>
      <c r="AK30" s="4"/>
      <c r="AL30" s="4"/>
    </row>
    <row r="31" spans="13:38" ht="30" customHeight="1" x14ac:dyDescent="0.25">
      <c r="P31" s="4"/>
      <c r="Q31" s="4"/>
      <c r="R31" s="4"/>
      <c r="S31" s="4"/>
      <c r="T31" s="4"/>
      <c r="U31" s="4"/>
      <c r="V31" s="4"/>
      <c r="W31" s="4"/>
      <c r="X31" s="4"/>
      <c r="Y31" s="4"/>
      <c r="AF31" s="4"/>
      <c r="AG31" s="4"/>
      <c r="AH31" s="4"/>
      <c r="AI31" s="4"/>
      <c r="AJ31" s="4"/>
      <c r="AK31" s="4"/>
      <c r="AL31" s="4"/>
    </row>
    <row r="32" spans="13:38" ht="30" customHeight="1" x14ac:dyDescent="0.25">
      <c r="V32" s="4"/>
      <c r="W32" s="4"/>
      <c r="X32" s="4"/>
      <c r="Y32" s="4"/>
      <c r="AF32" s="4"/>
      <c r="AG32" s="4"/>
      <c r="AH32" s="4"/>
      <c r="AI32" s="4"/>
      <c r="AJ32" s="4"/>
      <c r="AK32" s="4"/>
      <c r="AL32" s="4"/>
    </row>
    <row r="33" spans="22:38" ht="30" customHeight="1" x14ac:dyDescent="0.25">
      <c r="V33" s="4"/>
      <c r="W33" s="4"/>
      <c r="X33" s="4"/>
      <c r="Y33" s="4"/>
      <c r="AF33" s="4"/>
      <c r="AG33" s="4"/>
      <c r="AH33" s="4"/>
      <c r="AI33" s="4"/>
      <c r="AJ33" s="4"/>
      <c r="AK33" s="4"/>
      <c r="AL33" s="4"/>
    </row>
    <row r="34" spans="22:38" ht="30" customHeight="1" x14ac:dyDescent="0.25">
      <c r="V34" s="4"/>
      <c r="W34" s="4"/>
      <c r="X34" s="4"/>
      <c r="Y34" s="4"/>
      <c r="AF34" s="4"/>
      <c r="AG34" s="4"/>
      <c r="AH34" s="4"/>
      <c r="AI34" s="4"/>
      <c r="AJ34" s="4"/>
      <c r="AK34" s="4"/>
      <c r="AL34" s="4"/>
    </row>
    <row r="35" spans="22:38" ht="30" customHeight="1" x14ac:dyDescent="0.25">
      <c r="W35" s="4"/>
      <c r="X35" s="4"/>
      <c r="Y35" s="4"/>
      <c r="AF35" s="4"/>
      <c r="AG35" s="4"/>
      <c r="AH35" s="4"/>
      <c r="AI35" s="4"/>
      <c r="AJ35" s="4"/>
      <c r="AK35" s="4"/>
      <c r="AL35" s="4"/>
    </row>
    <row r="36" spans="22:38" ht="30" customHeight="1" x14ac:dyDescent="0.25">
      <c r="W36" s="4"/>
      <c r="X36" s="4"/>
      <c r="Y36" s="4"/>
      <c r="AF36" s="4"/>
      <c r="AG36" s="4"/>
      <c r="AH36" s="4"/>
      <c r="AI36" s="4"/>
      <c r="AJ36" s="4"/>
      <c r="AK36" s="4"/>
      <c r="AL36" s="4"/>
    </row>
    <row r="37" spans="22:38" ht="30" customHeight="1" x14ac:dyDescent="0.25">
      <c r="W37" s="4"/>
      <c r="X37" s="4"/>
      <c r="Y37" s="4"/>
      <c r="AF37" s="4"/>
      <c r="AG37" s="4"/>
      <c r="AH37" s="4"/>
      <c r="AI37" s="4"/>
      <c r="AJ37" s="4"/>
      <c r="AK37" s="4"/>
      <c r="AL37" s="4"/>
    </row>
    <row r="38" spans="22:38" ht="30" customHeight="1" x14ac:dyDescent="0.25"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</row>
    <row r="39" spans="22:38" ht="30" customHeight="1" x14ac:dyDescent="0.25"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</row>
    <row r="40" spans="22:38" ht="30" customHeight="1" x14ac:dyDescent="0.25"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</row>
    <row r="41" spans="22:38" ht="30" customHeight="1" x14ac:dyDescent="0.25"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</row>
    <row r="42" spans="22:38" ht="30" customHeight="1" x14ac:dyDescent="0.25"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</row>
    <row r="43" spans="22:38" ht="30" customHeight="1" x14ac:dyDescent="0.25"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</row>
    <row r="44" spans="22:38" ht="30" customHeight="1" x14ac:dyDescent="0.25"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</row>
    <row r="45" spans="22:38" ht="30" customHeight="1" x14ac:dyDescent="0.25"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</row>
    <row r="46" spans="22:38" ht="30" customHeight="1" x14ac:dyDescent="0.25"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</row>
    <row r="47" spans="22:38" ht="30" customHeight="1" x14ac:dyDescent="0.25"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</row>
    <row r="48" spans="22:38" ht="30" customHeight="1" x14ac:dyDescent="0.25"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</row>
    <row r="49" spans="16:38" ht="30" customHeight="1" x14ac:dyDescent="0.25"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</row>
    <row r="50" spans="16:38" ht="30" customHeight="1" x14ac:dyDescent="0.25"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</row>
    <row r="51" spans="16:38" ht="30" customHeight="1" x14ac:dyDescent="0.25"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</row>
    <row r="52" spans="16:38" ht="30" customHeight="1" x14ac:dyDescent="0.25"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</row>
    <row r="53" spans="16:38" ht="30" customHeight="1" x14ac:dyDescent="0.25"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</row>
    <row r="54" spans="16:38" ht="30" customHeight="1" x14ac:dyDescent="0.25"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</row>
    <row r="55" spans="16:38" ht="30" customHeight="1" x14ac:dyDescent="0.25"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</row>
    <row r="56" spans="16:38" ht="30" customHeight="1" x14ac:dyDescent="0.25"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</row>
    <row r="57" spans="16:38" ht="30" customHeight="1" x14ac:dyDescent="0.25"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</row>
    <row r="58" spans="16:38" ht="30" customHeight="1" x14ac:dyDescent="0.25"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</row>
    <row r="59" spans="16:38" ht="30" customHeight="1" x14ac:dyDescent="0.25"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</row>
    <row r="60" spans="16:38" ht="30" customHeight="1" x14ac:dyDescent="0.25"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</row>
    <row r="61" spans="16:38" ht="30" customHeight="1" x14ac:dyDescent="0.25"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</row>
    <row r="62" spans="16:38" ht="30" customHeight="1" x14ac:dyDescent="0.25"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</row>
    <row r="63" spans="16:38" ht="30" customHeight="1" x14ac:dyDescent="0.25"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</row>
    <row r="64" spans="16:38" ht="30" customHeight="1" x14ac:dyDescent="0.25"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</row>
    <row r="65" spans="16:38" ht="30" customHeight="1" x14ac:dyDescent="0.25"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</row>
    <row r="66" spans="16:38" ht="30" customHeight="1" x14ac:dyDescent="0.25"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</row>
    <row r="67" spans="16:38" ht="30" customHeight="1" x14ac:dyDescent="0.25"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</row>
    <row r="68" spans="16:38" ht="30" customHeight="1" x14ac:dyDescent="0.25"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</row>
    <row r="69" spans="16:38" ht="30" customHeight="1" x14ac:dyDescent="0.25"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</row>
    <row r="70" spans="16:38" ht="30" customHeight="1" x14ac:dyDescent="0.25"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</row>
    <row r="71" spans="16:38" ht="30" customHeight="1" x14ac:dyDescent="0.25"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</row>
    <row r="72" spans="16:38" ht="30" customHeight="1" x14ac:dyDescent="0.25"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</row>
    <row r="73" spans="16:38" ht="30" customHeight="1" x14ac:dyDescent="0.25"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</row>
    <row r="74" spans="16:38" ht="30" customHeight="1" x14ac:dyDescent="0.25"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</row>
    <row r="75" spans="16:38" ht="30" customHeight="1" x14ac:dyDescent="0.25"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</row>
    <row r="76" spans="16:38" ht="30" customHeight="1" x14ac:dyDescent="0.25"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</row>
    <row r="77" spans="16:38" ht="30" customHeight="1" x14ac:dyDescent="0.25"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</row>
    <row r="78" spans="16:38" ht="30" customHeight="1" x14ac:dyDescent="0.25"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</row>
    <row r="79" spans="16:38" ht="30" customHeight="1" x14ac:dyDescent="0.25"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</row>
    <row r="80" spans="16:38" ht="30" customHeight="1" x14ac:dyDescent="0.25"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</row>
    <row r="81" spans="16:38" ht="30" customHeight="1" x14ac:dyDescent="0.25"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</row>
    <row r="82" spans="16:38" ht="30" customHeight="1" x14ac:dyDescent="0.25"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</row>
    <row r="83" spans="16:38" ht="30" customHeight="1" x14ac:dyDescent="0.25"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</row>
    <row r="84" spans="16:38" ht="30" customHeight="1" x14ac:dyDescent="0.25"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</row>
    <row r="85" spans="16:38" ht="30" customHeight="1" x14ac:dyDescent="0.25"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</row>
    <row r="86" spans="16:38" ht="30" customHeight="1" x14ac:dyDescent="0.25"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</row>
    <row r="87" spans="16:38" ht="30" customHeight="1" x14ac:dyDescent="0.25"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</row>
    <row r="88" spans="16:38" ht="30" customHeight="1" x14ac:dyDescent="0.25"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</row>
    <row r="89" spans="16:38" ht="30" customHeight="1" x14ac:dyDescent="0.25"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</row>
    <row r="90" spans="16:38" ht="30" customHeight="1" x14ac:dyDescent="0.25"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</row>
    <row r="91" spans="16:38" ht="30" customHeight="1" x14ac:dyDescent="0.25"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</row>
    <row r="92" spans="16:38" ht="30" customHeight="1" x14ac:dyDescent="0.25"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</row>
    <row r="93" spans="16:38" ht="30" customHeight="1" x14ac:dyDescent="0.25"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</row>
    <row r="94" spans="16:38" ht="30" customHeight="1" x14ac:dyDescent="0.25"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</row>
    <row r="95" spans="16:38" ht="30" customHeight="1" x14ac:dyDescent="0.25"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</row>
    <row r="96" spans="16:38" ht="30" customHeight="1" x14ac:dyDescent="0.25"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</row>
    <row r="97" spans="16:38" ht="30" customHeight="1" x14ac:dyDescent="0.25"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</row>
    <row r="98" spans="16:38" ht="30" customHeight="1" x14ac:dyDescent="0.25"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</row>
  </sheetData>
  <sheetProtection algorithmName="SHA-512" hashValue="zmAdrlb+n/9PuJzaDDt2DAr4MibDUKDANCe3Pzx0CG2UBMktJqNZ9xbHqnGF/FIpj1KUNusJ6wG2REfW1y9CIQ==" saltValue="vKyscBcSRps69MVvyZu8fA==" spinCount="100000"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Group Box 1">
              <controlPr defaultSize="0" autoFill="0" autoPict="0">
                <anchor>
                  <from>
                    <xdr:col>4</xdr:col>
                    <xdr:colOff>190500</xdr:colOff>
                    <xdr:row>7</xdr:row>
                    <xdr:rowOff>57150</xdr:rowOff>
                  </from>
                  <to>
                    <xdr:col>35</xdr:col>
                    <xdr:colOff>9525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Option Button 2">
              <controlPr defaultSize="0" autoFill="0" autoLine="0" autoPict="0">
                <anchor>
                  <from>
                    <xdr:col>4</xdr:col>
                    <xdr:colOff>323850</xdr:colOff>
                    <xdr:row>7</xdr:row>
                    <xdr:rowOff>190500</xdr:rowOff>
                  </from>
                  <to>
                    <xdr:col>34</xdr:col>
                    <xdr:colOff>209550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Option Button 3">
              <controlPr defaultSize="0" autoFill="0" autoLine="0" autoPict="0" altText="мне в школе не очень нравится;">
                <anchor>
                  <from>
                    <xdr:col>4</xdr:col>
                    <xdr:colOff>323850</xdr:colOff>
                    <xdr:row>9</xdr:row>
                    <xdr:rowOff>266700</xdr:rowOff>
                  </from>
                  <to>
                    <xdr:col>34</xdr:col>
                    <xdr:colOff>152400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Option Button 4">
              <controlPr defaultSize="0" autoFill="0" autoLine="0" autoPict="0" altText="мне в школе не очень нравится;">
                <anchor>
                  <from>
                    <xdr:col>4</xdr:col>
                    <xdr:colOff>323850</xdr:colOff>
                    <xdr:row>11</xdr:row>
                    <xdr:rowOff>295275</xdr:rowOff>
                  </from>
                  <to>
                    <xdr:col>34</xdr:col>
                    <xdr:colOff>161925</xdr:colOff>
                    <xdr:row>12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2:AL98"/>
  <sheetViews>
    <sheetView showGridLines="0" showRowColHeaders="0" workbookViewId="0">
      <selection activeCell="E2" sqref="E2:AI2"/>
    </sheetView>
  </sheetViews>
  <sheetFormatPr defaultColWidth="5.7109375" defaultRowHeight="30" customHeight="1" x14ac:dyDescent="0.25"/>
  <cols>
    <col min="1" max="16384" width="5.7109375" style="33"/>
  </cols>
  <sheetData>
    <row r="2" spans="1:38" ht="30" customHeight="1" x14ac:dyDescent="0.25">
      <c r="A2" s="32"/>
      <c r="C2" s="34"/>
    </row>
    <row r="3" spans="1:38" ht="30" customHeight="1" x14ac:dyDescent="0.3">
      <c r="B3" s="35"/>
      <c r="D3" s="36"/>
      <c r="H3" s="37"/>
      <c r="I3" s="37"/>
      <c r="J3" s="37"/>
      <c r="K3" s="37"/>
      <c r="L3" s="37"/>
      <c r="M3" s="38"/>
      <c r="N3" s="38"/>
      <c r="O3" s="38"/>
      <c r="Y3" s="39"/>
      <c r="Z3" s="40"/>
      <c r="AA3" s="40"/>
      <c r="AB3" s="41"/>
      <c r="AC3" s="41"/>
      <c r="AD3" s="40"/>
      <c r="AE3" s="40"/>
      <c r="AF3" s="39"/>
      <c r="AG3" s="39"/>
      <c r="AH3" s="39"/>
      <c r="AI3" s="39"/>
      <c r="AJ3" s="39"/>
      <c r="AK3" s="39"/>
      <c r="AL3" s="39"/>
    </row>
    <row r="4" spans="1:38" ht="30" customHeight="1" x14ac:dyDescent="0.25">
      <c r="Y4" s="39"/>
      <c r="AB4" s="40"/>
      <c r="AC4" s="40"/>
      <c r="AD4" s="40"/>
      <c r="AE4" s="40"/>
      <c r="AF4" s="39"/>
      <c r="AG4" s="39"/>
      <c r="AH4" s="39"/>
      <c r="AI4" s="39"/>
      <c r="AJ4" s="39"/>
      <c r="AK4" s="39"/>
      <c r="AL4" s="39"/>
    </row>
    <row r="5" spans="1:38" ht="30" customHeight="1" x14ac:dyDescent="0.25">
      <c r="C5" s="42"/>
      <c r="D5" s="43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5"/>
      <c r="W5" s="45"/>
      <c r="X5" s="45"/>
      <c r="Y5" s="39"/>
      <c r="Z5" s="40"/>
      <c r="AA5" s="46">
        <v>2</v>
      </c>
      <c r="AB5" s="40"/>
      <c r="AC5" s="40"/>
      <c r="AD5" s="40"/>
      <c r="AE5" s="40"/>
      <c r="AF5" s="39"/>
      <c r="AG5" s="39"/>
      <c r="AH5" s="39"/>
      <c r="AI5" s="39"/>
      <c r="AJ5" s="39"/>
      <c r="AK5" s="39"/>
      <c r="AL5" s="39"/>
    </row>
    <row r="6" spans="1:38" ht="30" customHeight="1" x14ac:dyDescent="0.25">
      <c r="M6" s="39"/>
      <c r="N6" s="39"/>
      <c r="O6" s="39"/>
      <c r="P6" s="39"/>
      <c r="Q6" s="39"/>
      <c r="R6" s="39"/>
      <c r="S6" s="39"/>
      <c r="T6" s="39"/>
      <c r="U6" s="39"/>
      <c r="V6" s="45"/>
      <c r="W6" s="45"/>
      <c r="X6" s="45"/>
      <c r="Y6" s="39"/>
      <c r="Z6" s="40"/>
      <c r="AA6" s="47"/>
      <c r="AB6" s="40"/>
      <c r="AC6" s="40"/>
      <c r="AD6" s="40"/>
      <c r="AE6" s="40"/>
      <c r="AF6" s="39"/>
      <c r="AG6" s="39"/>
      <c r="AH6" s="39"/>
      <c r="AI6" s="39"/>
      <c r="AJ6" s="39"/>
      <c r="AK6" s="39"/>
      <c r="AL6" s="39"/>
    </row>
    <row r="7" spans="1:38" ht="30" customHeight="1" x14ac:dyDescent="0.3">
      <c r="B7" s="48"/>
      <c r="C7" s="4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40"/>
      <c r="AA7" s="47"/>
      <c r="AB7" s="40"/>
      <c r="AC7" s="40"/>
      <c r="AD7" s="40"/>
      <c r="AE7" s="40"/>
      <c r="AF7" s="39"/>
      <c r="AG7" s="39"/>
      <c r="AH7" s="39"/>
      <c r="AI7" s="39"/>
      <c r="AJ7" s="39"/>
      <c r="AK7" s="39"/>
      <c r="AL7" s="39"/>
    </row>
    <row r="8" spans="1:38" ht="30" customHeight="1" x14ac:dyDescent="0.3">
      <c r="B8" s="48"/>
      <c r="C8" s="4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40"/>
      <c r="AA8" s="47"/>
      <c r="AB8" s="40"/>
      <c r="AC8" s="40"/>
      <c r="AD8" s="40"/>
      <c r="AE8" s="40"/>
      <c r="AF8" s="39"/>
      <c r="AG8" s="39"/>
      <c r="AH8" s="39"/>
      <c r="AI8" s="39"/>
      <c r="AJ8" s="39"/>
      <c r="AK8" s="39"/>
      <c r="AL8" s="39"/>
    </row>
    <row r="9" spans="1:38" ht="30" customHeight="1" x14ac:dyDescent="0.25"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40"/>
      <c r="AA9" s="47"/>
      <c r="AB9" s="40"/>
      <c r="AC9" s="40"/>
      <c r="AD9" s="40"/>
      <c r="AE9" s="40"/>
      <c r="AF9" s="39"/>
      <c r="AG9" s="39"/>
      <c r="AH9" s="39"/>
      <c r="AI9" s="39"/>
      <c r="AJ9" s="39"/>
      <c r="AK9" s="39"/>
      <c r="AL9" s="39"/>
    </row>
    <row r="10" spans="1:38" ht="30" customHeight="1" x14ac:dyDescent="0.25"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40"/>
      <c r="AA10" s="47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</row>
    <row r="11" spans="1:38" ht="30" customHeight="1" x14ac:dyDescent="0.25"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40"/>
      <c r="AA11" s="47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</row>
    <row r="12" spans="1:38" ht="30" customHeight="1" x14ac:dyDescent="0.25"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40"/>
      <c r="AA12" s="47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</row>
    <row r="13" spans="1:38" ht="30" customHeight="1" x14ac:dyDescent="0.25"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40"/>
      <c r="AA13" s="47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</row>
    <row r="14" spans="1:38" ht="30" customHeight="1" x14ac:dyDescent="0.25"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</row>
    <row r="15" spans="1:38" ht="30" customHeight="1" x14ac:dyDescent="0.25"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</row>
    <row r="16" spans="1:38" ht="30" customHeight="1" x14ac:dyDescent="0.25"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</row>
    <row r="17" spans="13:38" ht="30" customHeight="1" x14ac:dyDescent="0.25"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</row>
    <row r="18" spans="13:38" ht="30" customHeight="1" x14ac:dyDescent="0.25"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AF18" s="39"/>
      <c r="AG18" s="39"/>
      <c r="AH18" s="39"/>
      <c r="AI18" s="39"/>
      <c r="AJ18" s="39"/>
      <c r="AK18" s="39"/>
      <c r="AL18" s="39"/>
    </row>
    <row r="19" spans="13:38" ht="30" customHeight="1" x14ac:dyDescent="0.25"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AF19" s="39"/>
      <c r="AG19" s="39"/>
      <c r="AH19" s="39"/>
      <c r="AI19" s="39"/>
      <c r="AJ19" s="39"/>
      <c r="AK19" s="39"/>
      <c r="AL19" s="39"/>
    </row>
    <row r="20" spans="13:38" ht="30" customHeight="1" x14ac:dyDescent="0.25"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AF20" s="39"/>
      <c r="AG20" s="39"/>
      <c r="AH20" s="39"/>
      <c r="AI20" s="39"/>
      <c r="AJ20" s="39"/>
      <c r="AK20" s="39"/>
      <c r="AL20" s="39"/>
    </row>
    <row r="21" spans="13:38" ht="30" customHeight="1" x14ac:dyDescent="0.25"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AF21" s="39"/>
      <c r="AG21" s="39"/>
      <c r="AH21" s="39"/>
      <c r="AI21" s="39"/>
      <c r="AJ21" s="39"/>
      <c r="AK21" s="39"/>
      <c r="AL21" s="39"/>
    </row>
    <row r="22" spans="13:38" ht="30" customHeight="1" x14ac:dyDescent="0.25"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AF22" s="39"/>
      <c r="AG22" s="39"/>
      <c r="AH22" s="39"/>
      <c r="AI22" s="39"/>
      <c r="AJ22" s="39"/>
      <c r="AK22" s="39"/>
      <c r="AL22" s="39"/>
    </row>
    <row r="23" spans="13:38" ht="30" customHeight="1" x14ac:dyDescent="0.25"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AF23" s="39"/>
      <c r="AG23" s="39"/>
      <c r="AH23" s="39"/>
      <c r="AI23" s="39"/>
      <c r="AJ23" s="39"/>
      <c r="AK23" s="39"/>
      <c r="AL23" s="39"/>
    </row>
    <row r="24" spans="13:38" ht="30" customHeight="1" x14ac:dyDescent="0.25"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AF24" s="39"/>
      <c r="AG24" s="39"/>
      <c r="AH24" s="39"/>
      <c r="AI24" s="39"/>
      <c r="AJ24" s="39"/>
      <c r="AK24" s="39"/>
      <c r="AL24" s="39"/>
    </row>
    <row r="25" spans="13:38" ht="30" customHeight="1" x14ac:dyDescent="0.25"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AF25" s="39"/>
      <c r="AG25" s="39"/>
      <c r="AH25" s="39"/>
      <c r="AI25" s="39"/>
      <c r="AJ25" s="39"/>
      <c r="AK25" s="39"/>
      <c r="AL25" s="39"/>
    </row>
    <row r="26" spans="13:38" ht="30" customHeight="1" x14ac:dyDescent="0.25"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AF26" s="39"/>
      <c r="AG26" s="39"/>
      <c r="AH26" s="39"/>
      <c r="AI26" s="39"/>
      <c r="AJ26" s="39"/>
      <c r="AK26" s="39"/>
      <c r="AL26" s="39"/>
    </row>
    <row r="27" spans="13:38" ht="30" customHeight="1" x14ac:dyDescent="0.25">
      <c r="P27" s="39"/>
      <c r="Q27" s="39"/>
      <c r="R27" s="39"/>
      <c r="S27" s="39"/>
      <c r="T27" s="39"/>
      <c r="U27" s="39"/>
      <c r="V27" s="39"/>
      <c r="W27" s="39"/>
      <c r="X27" s="39"/>
      <c r="Y27" s="39"/>
      <c r="AF27" s="39"/>
      <c r="AG27" s="39"/>
      <c r="AH27" s="39"/>
      <c r="AI27" s="39"/>
      <c r="AJ27" s="39"/>
      <c r="AK27" s="39"/>
      <c r="AL27" s="39"/>
    </row>
    <row r="28" spans="13:38" ht="30" customHeight="1" x14ac:dyDescent="0.25">
      <c r="V28" s="39"/>
      <c r="W28" s="39"/>
      <c r="X28" s="39"/>
      <c r="Y28" s="39"/>
      <c r="AF28" s="39"/>
      <c r="AG28" s="39"/>
      <c r="AH28" s="39"/>
      <c r="AI28" s="39"/>
      <c r="AJ28" s="39"/>
      <c r="AK28" s="39"/>
      <c r="AL28" s="39"/>
    </row>
    <row r="29" spans="13:38" ht="30" customHeight="1" x14ac:dyDescent="0.25">
      <c r="V29" s="39"/>
      <c r="W29" s="39"/>
      <c r="X29" s="39"/>
      <c r="Y29" s="39"/>
      <c r="AF29" s="39"/>
      <c r="AG29" s="39"/>
      <c r="AH29" s="39"/>
      <c r="AI29" s="39"/>
      <c r="AJ29" s="39"/>
      <c r="AK29" s="39"/>
      <c r="AL29" s="39"/>
    </row>
    <row r="30" spans="13:38" ht="30" customHeight="1" x14ac:dyDescent="0.25">
      <c r="V30" s="39"/>
      <c r="W30" s="39"/>
      <c r="X30" s="39"/>
      <c r="Y30" s="39"/>
      <c r="AF30" s="39"/>
      <c r="AG30" s="39"/>
      <c r="AH30" s="39"/>
      <c r="AI30" s="39"/>
      <c r="AJ30" s="39"/>
      <c r="AK30" s="39"/>
      <c r="AL30" s="39"/>
    </row>
    <row r="31" spans="13:38" ht="30" customHeight="1" x14ac:dyDescent="0.25">
      <c r="P31" s="39"/>
      <c r="Q31" s="39"/>
      <c r="R31" s="39"/>
      <c r="S31" s="39"/>
      <c r="T31" s="39"/>
      <c r="U31" s="39"/>
      <c r="V31" s="39"/>
      <c r="W31" s="39"/>
      <c r="X31" s="39"/>
      <c r="Y31" s="39"/>
      <c r="AF31" s="39"/>
      <c r="AG31" s="39"/>
      <c r="AH31" s="39"/>
      <c r="AI31" s="39"/>
      <c r="AJ31" s="39"/>
      <c r="AK31" s="39"/>
      <c r="AL31" s="39"/>
    </row>
    <row r="32" spans="13:38" ht="30" customHeight="1" x14ac:dyDescent="0.25">
      <c r="V32" s="39"/>
      <c r="W32" s="39"/>
      <c r="X32" s="39"/>
      <c r="Y32" s="39"/>
      <c r="AF32" s="39"/>
      <c r="AG32" s="39"/>
      <c r="AH32" s="39"/>
      <c r="AI32" s="39"/>
      <c r="AJ32" s="39"/>
      <c r="AK32" s="39"/>
      <c r="AL32" s="39"/>
    </row>
    <row r="33" spans="22:38" ht="30" customHeight="1" x14ac:dyDescent="0.25">
      <c r="V33" s="39"/>
      <c r="W33" s="39"/>
      <c r="X33" s="39"/>
      <c r="Y33" s="39"/>
      <c r="AF33" s="39"/>
      <c r="AG33" s="39"/>
      <c r="AH33" s="39"/>
      <c r="AI33" s="39"/>
      <c r="AJ33" s="39"/>
      <c r="AK33" s="39"/>
      <c r="AL33" s="39"/>
    </row>
    <row r="34" spans="22:38" ht="30" customHeight="1" x14ac:dyDescent="0.25">
      <c r="V34" s="39"/>
      <c r="W34" s="39"/>
      <c r="X34" s="39"/>
      <c r="Y34" s="39"/>
      <c r="AF34" s="39"/>
      <c r="AG34" s="39"/>
      <c r="AH34" s="39"/>
      <c r="AI34" s="39"/>
      <c r="AJ34" s="39"/>
      <c r="AK34" s="39"/>
      <c r="AL34" s="39"/>
    </row>
    <row r="35" spans="22:38" ht="30" customHeight="1" x14ac:dyDescent="0.25">
      <c r="W35" s="39"/>
      <c r="X35" s="39"/>
      <c r="Y35" s="39"/>
      <c r="AF35" s="39"/>
      <c r="AG35" s="39"/>
      <c r="AH35" s="39"/>
      <c r="AI35" s="39"/>
      <c r="AJ35" s="39"/>
      <c r="AK35" s="39"/>
      <c r="AL35" s="39"/>
    </row>
    <row r="36" spans="22:38" ht="30" customHeight="1" x14ac:dyDescent="0.25">
      <c r="W36" s="39"/>
      <c r="X36" s="39"/>
      <c r="Y36" s="39"/>
      <c r="AF36" s="39"/>
      <c r="AG36" s="39"/>
      <c r="AH36" s="39"/>
      <c r="AI36" s="39"/>
      <c r="AJ36" s="39"/>
      <c r="AK36" s="39"/>
      <c r="AL36" s="39"/>
    </row>
    <row r="37" spans="22:38" ht="30" customHeight="1" x14ac:dyDescent="0.25">
      <c r="W37" s="39"/>
      <c r="X37" s="39"/>
      <c r="Y37" s="39"/>
      <c r="AF37" s="39"/>
      <c r="AG37" s="39"/>
      <c r="AH37" s="39"/>
      <c r="AI37" s="39"/>
      <c r="AJ37" s="39"/>
      <c r="AK37" s="39"/>
      <c r="AL37" s="39"/>
    </row>
    <row r="38" spans="22:38" ht="30" customHeight="1" x14ac:dyDescent="0.25"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</row>
    <row r="39" spans="22:38" ht="30" customHeight="1" x14ac:dyDescent="0.25"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</row>
    <row r="40" spans="22:38" ht="30" customHeight="1" x14ac:dyDescent="0.25"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</row>
    <row r="41" spans="22:38" ht="30" customHeight="1" x14ac:dyDescent="0.25"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</row>
    <row r="42" spans="22:38" ht="30" customHeight="1" x14ac:dyDescent="0.25"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</row>
    <row r="43" spans="22:38" ht="30" customHeight="1" x14ac:dyDescent="0.25"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</row>
    <row r="44" spans="22:38" ht="30" customHeight="1" x14ac:dyDescent="0.25"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</row>
    <row r="45" spans="22:38" ht="30" customHeight="1" x14ac:dyDescent="0.25"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</row>
    <row r="46" spans="22:38" ht="30" customHeight="1" x14ac:dyDescent="0.25"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</row>
    <row r="47" spans="22:38" ht="30" customHeight="1" x14ac:dyDescent="0.25"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</row>
    <row r="48" spans="22:38" ht="30" customHeight="1" x14ac:dyDescent="0.25"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</row>
    <row r="49" spans="16:38" ht="30" customHeight="1" x14ac:dyDescent="0.25"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</row>
    <row r="50" spans="16:38" ht="30" customHeight="1" x14ac:dyDescent="0.25"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</row>
    <row r="51" spans="16:38" ht="30" customHeight="1" x14ac:dyDescent="0.25"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</row>
    <row r="52" spans="16:38" ht="30" customHeight="1" x14ac:dyDescent="0.25"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</row>
    <row r="53" spans="16:38" ht="30" customHeight="1" x14ac:dyDescent="0.25"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</row>
    <row r="54" spans="16:38" ht="30" customHeight="1" x14ac:dyDescent="0.25"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</row>
    <row r="55" spans="16:38" ht="30" customHeight="1" x14ac:dyDescent="0.25"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</row>
    <row r="56" spans="16:38" ht="30" customHeight="1" x14ac:dyDescent="0.25"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</row>
    <row r="57" spans="16:38" ht="30" customHeight="1" x14ac:dyDescent="0.25"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</row>
    <row r="58" spans="16:38" ht="30" customHeight="1" x14ac:dyDescent="0.25"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</row>
    <row r="59" spans="16:38" ht="30" customHeight="1" x14ac:dyDescent="0.25"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</row>
    <row r="60" spans="16:38" ht="30" customHeight="1" x14ac:dyDescent="0.25"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</row>
    <row r="61" spans="16:38" ht="30" customHeight="1" x14ac:dyDescent="0.25"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</row>
    <row r="62" spans="16:38" ht="30" customHeight="1" x14ac:dyDescent="0.25"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</row>
    <row r="63" spans="16:38" ht="30" customHeight="1" x14ac:dyDescent="0.25"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</row>
    <row r="64" spans="16:38" ht="30" customHeight="1" x14ac:dyDescent="0.25"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</row>
    <row r="65" spans="16:38" ht="30" customHeight="1" x14ac:dyDescent="0.25"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</row>
    <row r="66" spans="16:38" ht="30" customHeight="1" x14ac:dyDescent="0.25"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</row>
    <row r="67" spans="16:38" ht="30" customHeight="1" x14ac:dyDescent="0.25"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</row>
    <row r="68" spans="16:38" ht="30" customHeight="1" x14ac:dyDescent="0.25"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</row>
    <row r="69" spans="16:38" ht="30" customHeight="1" x14ac:dyDescent="0.25"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</row>
    <row r="70" spans="16:38" ht="30" customHeight="1" x14ac:dyDescent="0.25"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</row>
    <row r="71" spans="16:38" ht="30" customHeight="1" x14ac:dyDescent="0.25"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</row>
    <row r="72" spans="16:38" ht="30" customHeight="1" x14ac:dyDescent="0.25"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</row>
    <row r="73" spans="16:38" ht="30" customHeight="1" x14ac:dyDescent="0.25"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</row>
    <row r="74" spans="16:38" ht="30" customHeight="1" x14ac:dyDescent="0.25"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</row>
    <row r="75" spans="16:38" ht="30" customHeight="1" x14ac:dyDescent="0.25"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</row>
    <row r="76" spans="16:38" ht="30" customHeight="1" x14ac:dyDescent="0.25"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</row>
    <row r="77" spans="16:38" ht="30" customHeight="1" x14ac:dyDescent="0.25"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</row>
    <row r="78" spans="16:38" ht="30" customHeight="1" x14ac:dyDescent="0.25"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</row>
    <row r="79" spans="16:38" ht="30" customHeight="1" x14ac:dyDescent="0.25"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</row>
    <row r="80" spans="16:38" ht="30" customHeight="1" x14ac:dyDescent="0.25"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</row>
    <row r="81" spans="16:38" ht="30" customHeight="1" x14ac:dyDescent="0.25"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</row>
    <row r="82" spans="16:38" ht="30" customHeight="1" x14ac:dyDescent="0.25"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</row>
    <row r="83" spans="16:38" ht="30" customHeight="1" x14ac:dyDescent="0.25"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</row>
    <row r="84" spans="16:38" ht="30" customHeight="1" x14ac:dyDescent="0.25"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</row>
    <row r="85" spans="16:38" ht="30" customHeight="1" x14ac:dyDescent="0.25"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</row>
    <row r="86" spans="16:38" ht="30" customHeight="1" x14ac:dyDescent="0.25"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</row>
    <row r="87" spans="16:38" ht="30" customHeight="1" x14ac:dyDescent="0.25"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</row>
    <row r="88" spans="16:38" ht="30" customHeight="1" x14ac:dyDescent="0.25"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</row>
    <row r="89" spans="16:38" ht="30" customHeight="1" x14ac:dyDescent="0.25"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</row>
    <row r="90" spans="16:38" ht="30" customHeight="1" x14ac:dyDescent="0.25"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</row>
    <row r="91" spans="16:38" ht="30" customHeight="1" x14ac:dyDescent="0.25"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</row>
    <row r="92" spans="16:38" ht="30" customHeight="1" x14ac:dyDescent="0.25"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</row>
    <row r="93" spans="16:38" ht="30" customHeight="1" x14ac:dyDescent="0.25"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</row>
    <row r="94" spans="16:38" ht="30" customHeight="1" x14ac:dyDescent="0.25"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</row>
    <row r="95" spans="16:38" ht="30" customHeight="1" x14ac:dyDescent="0.25"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</row>
    <row r="96" spans="16:38" ht="30" customHeight="1" x14ac:dyDescent="0.25"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</row>
    <row r="97" spans="16:38" ht="30" customHeight="1" x14ac:dyDescent="0.25"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</row>
    <row r="98" spans="16:38" ht="30" customHeight="1" x14ac:dyDescent="0.25"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</row>
  </sheetData>
  <sheetProtection algorithmName="SHA-512" hashValue="3zdKZtd8jykX1zTN5ijWKcKZInZspsJ9BGA+7/04nws6oUWSd71+77IfLVMr/eD3Fc9uZd/XYPKNpRCpZ/YlOg==" saltValue="w3jv/GdXmKlkotnBJ5Y6Tw==" spinCount="100000"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Group Box 1">
              <controlPr defaultSize="0" autoFill="0" autoPict="0">
                <anchor>
                  <from>
                    <xdr:col>4</xdr:col>
                    <xdr:colOff>190500</xdr:colOff>
                    <xdr:row>7</xdr:row>
                    <xdr:rowOff>57150</xdr:rowOff>
                  </from>
                  <to>
                    <xdr:col>35</xdr:col>
                    <xdr:colOff>9525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Option Button 2">
              <controlPr defaultSize="0" autoFill="0" autoLine="0" autoPict="0">
                <anchor>
                  <from>
                    <xdr:col>4</xdr:col>
                    <xdr:colOff>323850</xdr:colOff>
                    <xdr:row>7</xdr:row>
                    <xdr:rowOff>190500</xdr:rowOff>
                  </from>
                  <to>
                    <xdr:col>34</xdr:col>
                    <xdr:colOff>209550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Option Button 3">
              <controlPr defaultSize="0" autoFill="0" autoLine="0" autoPict="0" altText="мне в школе не очень нравится;">
                <anchor>
                  <from>
                    <xdr:col>4</xdr:col>
                    <xdr:colOff>323850</xdr:colOff>
                    <xdr:row>9</xdr:row>
                    <xdr:rowOff>266700</xdr:rowOff>
                  </from>
                  <to>
                    <xdr:col>34</xdr:col>
                    <xdr:colOff>152400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Option Button 4">
              <controlPr defaultSize="0" autoFill="0" autoLine="0" autoPict="0" altText="мне в школе не очень нравится;">
                <anchor>
                  <from>
                    <xdr:col>4</xdr:col>
                    <xdr:colOff>323850</xdr:colOff>
                    <xdr:row>11</xdr:row>
                    <xdr:rowOff>295275</xdr:rowOff>
                  </from>
                  <to>
                    <xdr:col>34</xdr:col>
                    <xdr:colOff>161925</xdr:colOff>
                    <xdr:row>12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2:AL98"/>
  <sheetViews>
    <sheetView showGridLines="0" showRowColHeaders="0" workbookViewId="0">
      <selection activeCell="E2" sqref="E2:AI2"/>
    </sheetView>
  </sheetViews>
  <sheetFormatPr defaultColWidth="5.7109375" defaultRowHeight="30" customHeight="1" x14ac:dyDescent="0.25"/>
  <cols>
    <col min="1" max="16384" width="5.7109375" style="33"/>
  </cols>
  <sheetData>
    <row r="2" spans="1:38" ht="30" customHeight="1" x14ac:dyDescent="0.25">
      <c r="A2" s="32"/>
      <c r="C2" s="34"/>
    </row>
    <row r="3" spans="1:38" ht="30" customHeight="1" x14ac:dyDescent="0.3">
      <c r="B3" s="35"/>
      <c r="D3" s="36"/>
      <c r="H3" s="37"/>
      <c r="I3" s="37"/>
      <c r="J3" s="37"/>
      <c r="K3" s="37"/>
      <c r="L3" s="37"/>
      <c r="M3" s="38"/>
      <c r="N3" s="38"/>
      <c r="O3" s="38"/>
      <c r="Y3" s="39"/>
      <c r="Z3" s="40"/>
      <c r="AA3" s="40"/>
      <c r="AB3" s="41"/>
      <c r="AC3" s="41"/>
      <c r="AD3" s="40"/>
      <c r="AE3" s="40"/>
      <c r="AF3" s="39"/>
      <c r="AG3" s="39"/>
      <c r="AH3" s="39"/>
      <c r="AI3" s="39"/>
      <c r="AJ3" s="39"/>
      <c r="AK3" s="39"/>
      <c r="AL3" s="39"/>
    </row>
    <row r="4" spans="1:38" ht="30" customHeight="1" x14ac:dyDescent="0.25">
      <c r="Y4" s="39"/>
      <c r="AB4" s="40"/>
      <c r="AC4" s="40"/>
      <c r="AD4" s="40"/>
      <c r="AE4" s="40"/>
      <c r="AF4" s="39"/>
      <c r="AG4" s="39"/>
      <c r="AH4" s="39"/>
      <c r="AI4" s="39"/>
      <c r="AJ4" s="39"/>
      <c r="AK4" s="39"/>
      <c r="AL4" s="39"/>
    </row>
    <row r="5" spans="1:38" ht="30" customHeight="1" x14ac:dyDescent="0.25">
      <c r="C5" s="42"/>
      <c r="D5" s="43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5"/>
      <c r="W5" s="45"/>
      <c r="X5" s="45"/>
      <c r="Y5" s="39"/>
      <c r="Z5" s="40"/>
      <c r="AA5" s="46">
        <v>2</v>
      </c>
      <c r="AB5" s="40"/>
      <c r="AC5" s="40"/>
      <c r="AD5" s="40"/>
      <c r="AE5" s="40"/>
      <c r="AF5" s="39"/>
      <c r="AG5" s="39"/>
      <c r="AH5" s="39"/>
      <c r="AI5" s="39"/>
      <c r="AJ5" s="39"/>
      <c r="AK5" s="39"/>
      <c r="AL5" s="39"/>
    </row>
    <row r="6" spans="1:38" ht="30" customHeight="1" x14ac:dyDescent="0.25">
      <c r="M6" s="39"/>
      <c r="N6" s="39"/>
      <c r="O6" s="39"/>
      <c r="P6" s="39"/>
      <c r="Q6" s="39"/>
      <c r="R6" s="39"/>
      <c r="S6" s="39"/>
      <c r="T6" s="39"/>
      <c r="U6" s="39"/>
      <c r="V6" s="45"/>
      <c r="W6" s="45"/>
      <c r="X6" s="45"/>
      <c r="Y6" s="39"/>
      <c r="Z6" s="40"/>
      <c r="AA6" s="47"/>
      <c r="AB6" s="40"/>
      <c r="AC6" s="40"/>
      <c r="AD6" s="40"/>
      <c r="AE6" s="40"/>
      <c r="AF6" s="39"/>
      <c r="AG6" s="39"/>
      <c r="AH6" s="39"/>
      <c r="AI6" s="39"/>
      <c r="AJ6" s="39"/>
      <c r="AK6" s="39"/>
      <c r="AL6" s="39"/>
    </row>
    <row r="7" spans="1:38" ht="30" customHeight="1" x14ac:dyDescent="0.3">
      <c r="B7" s="48"/>
      <c r="C7" s="4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40"/>
      <c r="AA7" s="47"/>
      <c r="AB7" s="40"/>
      <c r="AC7" s="40"/>
      <c r="AD7" s="40"/>
      <c r="AE7" s="40"/>
      <c r="AF7" s="39"/>
      <c r="AG7" s="39"/>
      <c r="AH7" s="39"/>
      <c r="AI7" s="39"/>
      <c r="AJ7" s="39"/>
      <c r="AK7" s="39"/>
      <c r="AL7" s="39"/>
    </row>
    <row r="8" spans="1:38" ht="30" customHeight="1" x14ac:dyDescent="0.3">
      <c r="B8" s="48"/>
      <c r="C8" s="4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40"/>
      <c r="AA8" s="47"/>
      <c r="AB8" s="40"/>
      <c r="AC8" s="40"/>
      <c r="AD8" s="40"/>
      <c r="AE8" s="40"/>
      <c r="AF8" s="39"/>
      <c r="AG8" s="39"/>
      <c r="AH8" s="39"/>
      <c r="AI8" s="39"/>
      <c r="AJ8" s="39"/>
      <c r="AK8" s="39"/>
      <c r="AL8" s="39"/>
    </row>
    <row r="9" spans="1:38" ht="30" customHeight="1" x14ac:dyDescent="0.25"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40"/>
      <c r="AA9" s="47"/>
      <c r="AB9" s="40"/>
      <c r="AC9" s="40"/>
      <c r="AD9" s="40"/>
      <c r="AE9" s="40"/>
      <c r="AF9" s="39"/>
      <c r="AG9" s="39"/>
      <c r="AH9" s="39"/>
      <c r="AI9" s="39"/>
      <c r="AJ9" s="39"/>
      <c r="AK9" s="39"/>
      <c r="AL9" s="39"/>
    </row>
    <row r="10" spans="1:38" ht="30" customHeight="1" x14ac:dyDescent="0.25"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40"/>
      <c r="AA10" s="47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</row>
    <row r="11" spans="1:38" ht="30" customHeight="1" x14ac:dyDescent="0.25"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40"/>
      <c r="AA11" s="47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</row>
    <row r="12" spans="1:38" ht="30" customHeight="1" x14ac:dyDescent="0.25"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40"/>
      <c r="AA12" s="47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</row>
    <row r="13" spans="1:38" ht="30" customHeight="1" x14ac:dyDescent="0.25"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40"/>
      <c r="AA13" s="47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</row>
    <row r="14" spans="1:38" ht="30" customHeight="1" x14ac:dyDescent="0.25"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</row>
    <row r="15" spans="1:38" ht="30" customHeight="1" x14ac:dyDescent="0.25"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</row>
    <row r="16" spans="1:38" ht="30" customHeight="1" x14ac:dyDescent="0.25"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</row>
    <row r="17" spans="13:38" ht="30" customHeight="1" x14ac:dyDescent="0.25"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</row>
    <row r="18" spans="13:38" ht="30" customHeight="1" x14ac:dyDescent="0.25"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AF18" s="39"/>
      <c r="AG18" s="39"/>
      <c r="AH18" s="39"/>
      <c r="AI18" s="39"/>
      <c r="AJ18" s="39"/>
      <c r="AK18" s="39"/>
      <c r="AL18" s="39"/>
    </row>
    <row r="19" spans="13:38" ht="30" customHeight="1" x14ac:dyDescent="0.25"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AF19" s="39"/>
      <c r="AG19" s="39"/>
      <c r="AH19" s="39"/>
      <c r="AI19" s="39"/>
      <c r="AJ19" s="39"/>
      <c r="AK19" s="39"/>
      <c r="AL19" s="39"/>
    </row>
    <row r="20" spans="13:38" ht="30" customHeight="1" x14ac:dyDescent="0.25"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AF20" s="39"/>
      <c r="AG20" s="39"/>
      <c r="AH20" s="39"/>
      <c r="AI20" s="39"/>
      <c r="AJ20" s="39"/>
      <c r="AK20" s="39"/>
      <c r="AL20" s="39"/>
    </row>
    <row r="21" spans="13:38" ht="30" customHeight="1" x14ac:dyDescent="0.25"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AF21" s="39"/>
      <c r="AG21" s="39"/>
      <c r="AH21" s="39"/>
      <c r="AI21" s="39"/>
      <c r="AJ21" s="39"/>
      <c r="AK21" s="39"/>
      <c r="AL21" s="39"/>
    </row>
    <row r="22" spans="13:38" ht="30" customHeight="1" x14ac:dyDescent="0.25"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AF22" s="39"/>
      <c r="AG22" s="39"/>
      <c r="AH22" s="39"/>
      <c r="AI22" s="39"/>
      <c r="AJ22" s="39"/>
      <c r="AK22" s="39"/>
      <c r="AL22" s="39"/>
    </row>
    <row r="23" spans="13:38" ht="30" customHeight="1" x14ac:dyDescent="0.25"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AF23" s="39"/>
      <c r="AG23" s="39"/>
      <c r="AH23" s="39"/>
      <c r="AI23" s="39"/>
      <c r="AJ23" s="39"/>
      <c r="AK23" s="39"/>
      <c r="AL23" s="39"/>
    </row>
    <row r="24" spans="13:38" ht="30" customHeight="1" x14ac:dyDescent="0.25"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AF24" s="39"/>
      <c r="AG24" s="39"/>
      <c r="AH24" s="39"/>
      <c r="AI24" s="39"/>
      <c r="AJ24" s="39"/>
      <c r="AK24" s="39"/>
      <c r="AL24" s="39"/>
    </row>
    <row r="25" spans="13:38" ht="30" customHeight="1" x14ac:dyDescent="0.25"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AF25" s="39"/>
      <c r="AG25" s="39"/>
      <c r="AH25" s="39"/>
      <c r="AI25" s="39"/>
      <c r="AJ25" s="39"/>
      <c r="AK25" s="39"/>
      <c r="AL25" s="39"/>
    </row>
    <row r="26" spans="13:38" ht="30" customHeight="1" x14ac:dyDescent="0.25"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AF26" s="39"/>
      <c r="AG26" s="39"/>
      <c r="AH26" s="39"/>
      <c r="AI26" s="39"/>
      <c r="AJ26" s="39"/>
      <c r="AK26" s="39"/>
      <c r="AL26" s="39"/>
    </row>
    <row r="27" spans="13:38" ht="30" customHeight="1" x14ac:dyDescent="0.25">
      <c r="P27" s="39"/>
      <c r="Q27" s="39"/>
      <c r="R27" s="39"/>
      <c r="S27" s="39"/>
      <c r="T27" s="39"/>
      <c r="U27" s="39"/>
      <c r="V27" s="39"/>
      <c r="W27" s="39"/>
      <c r="X27" s="39"/>
      <c r="Y27" s="39"/>
      <c r="AF27" s="39"/>
      <c r="AG27" s="39"/>
      <c r="AH27" s="39"/>
      <c r="AI27" s="39"/>
      <c r="AJ27" s="39"/>
      <c r="AK27" s="39"/>
      <c r="AL27" s="39"/>
    </row>
    <row r="28" spans="13:38" ht="30" customHeight="1" x14ac:dyDescent="0.25">
      <c r="V28" s="39"/>
      <c r="W28" s="39"/>
      <c r="X28" s="39"/>
      <c r="Y28" s="39"/>
      <c r="AF28" s="39"/>
      <c r="AG28" s="39"/>
      <c r="AH28" s="39"/>
      <c r="AI28" s="39"/>
      <c r="AJ28" s="39"/>
      <c r="AK28" s="39"/>
      <c r="AL28" s="39"/>
    </row>
    <row r="29" spans="13:38" ht="30" customHeight="1" x14ac:dyDescent="0.25">
      <c r="V29" s="39"/>
      <c r="W29" s="39"/>
      <c r="X29" s="39"/>
      <c r="Y29" s="39"/>
      <c r="AF29" s="39"/>
      <c r="AG29" s="39"/>
      <c r="AH29" s="39"/>
      <c r="AI29" s="39"/>
      <c r="AJ29" s="39"/>
      <c r="AK29" s="39"/>
      <c r="AL29" s="39"/>
    </row>
    <row r="30" spans="13:38" ht="30" customHeight="1" x14ac:dyDescent="0.25">
      <c r="V30" s="39"/>
      <c r="W30" s="39"/>
      <c r="X30" s="39"/>
      <c r="Y30" s="39"/>
      <c r="AF30" s="39"/>
      <c r="AG30" s="39"/>
      <c r="AH30" s="39"/>
      <c r="AI30" s="39"/>
      <c r="AJ30" s="39"/>
      <c r="AK30" s="39"/>
      <c r="AL30" s="39"/>
    </row>
    <row r="31" spans="13:38" ht="30" customHeight="1" x14ac:dyDescent="0.25">
      <c r="P31" s="39"/>
      <c r="Q31" s="39"/>
      <c r="R31" s="39"/>
      <c r="S31" s="39"/>
      <c r="T31" s="39"/>
      <c r="U31" s="39"/>
      <c r="V31" s="39"/>
      <c r="W31" s="39"/>
      <c r="X31" s="39"/>
      <c r="Y31" s="39"/>
      <c r="AF31" s="39"/>
      <c r="AG31" s="39"/>
      <c r="AH31" s="39"/>
      <c r="AI31" s="39"/>
      <c r="AJ31" s="39"/>
      <c r="AK31" s="39"/>
      <c r="AL31" s="39"/>
    </row>
    <row r="32" spans="13:38" ht="30" customHeight="1" x14ac:dyDescent="0.25">
      <c r="V32" s="39"/>
      <c r="W32" s="39"/>
      <c r="X32" s="39"/>
      <c r="Y32" s="39"/>
      <c r="AF32" s="39"/>
      <c r="AG32" s="39"/>
      <c r="AH32" s="39"/>
      <c r="AI32" s="39"/>
      <c r="AJ32" s="39"/>
      <c r="AK32" s="39"/>
      <c r="AL32" s="39"/>
    </row>
    <row r="33" spans="22:38" ht="30" customHeight="1" x14ac:dyDescent="0.25">
      <c r="V33" s="39"/>
      <c r="W33" s="39"/>
      <c r="X33" s="39"/>
      <c r="Y33" s="39"/>
      <c r="AF33" s="39"/>
      <c r="AG33" s="39"/>
      <c r="AH33" s="39"/>
      <c r="AI33" s="39"/>
      <c r="AJ33" s="39"/>
      <c r="AK33" s="39"/>
      <c r="AL33" s="39"/>
    </row>
    <row r="34" spans="22:38" ht="30" customHeight="1" x14ac:dyDescent="0.25">
      <c r="V34" s="39"/>
      <c r="W34" s="39"/>
      <c r="X34" s="39"/>
      <c r="Y34" s="39"/>
      <c r="AF34" s="39"/>
      <c r="AG34" s="39"/>
      <c r="AH34" s="39"/>
      <c r="AI34" s="39"/>
      <c r="AJ34" s="39"/>
      <c r="AK34" s="39"/>
      <c r="AL34" s="39"/>
    </row>
    <row r="35" spans="22:38" ht="30" customHeight="1" x14ac:dyDescent="0.25">
      <c r="W35" s="39"/>
      <c r="X35" s="39"/>
      <c r="Y35" s="39"/>
      <c r="AF35" s="39"/>
      <c r="AG35" s="39"/>
      <c r="AH35" s="39"/>
      <c r="AI35" s="39"/>
      <c r="AJ35" s="39"/>
      <c r="AK35" s="39"/>
      <c r="AL35" s="39"/>
    </row>
    <row r="36" spans="22:38" ht="30" customHeight="1" x14ac:dyDescent="0.25">
      <c r="W36" s="39"/>
      <c r="X36" s="39"/>
      <c r="Y36" s="39"/>
      <c r="AF36" s="39"/>
      <c r="AG36" s="39"/>
      <c r="AH36" s="39"/>
      <c r="AI36" s="39"/>
      <c r="AJ36" s="39"/>
      <c r="AK36" s="39"/>
      <c r="AL36" s="39"/>
    </row>
    <row r="37" spans="22:38" ht="30" customHeight="1" x14ac:dyDescent="0.25">
      <c r="W37" s="39"/>
      <c r="X37" s="39"/>
      <c r="Y37" s="39"/>
      <c r="AF37" s="39"/>
      <c r="AG37" s="39"/>
      <c r="AH37" s="39"/>
      <c r="AI37" s="39"/>
      <c r="AJ37" s="39"/>
      <c r="AK37" s="39"/>
      <c r="AL37" s="39"/>
    </row>
    <row r="38" spans="22:38" ht="30" customHeight="1" x14ac:dyDescent="0.25"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</row>
    <row r="39" spans="22:38" ht="30" customHeight="1" x14ac:dyDescent="0.25"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</row>
    <row r="40" spans="22:38" ht="30" customHeight="1" x14ac:dyDescent="0.25"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</row>
    <row r="41" spans="22:38" ht="30" customHeight="1" x14ac:dyDescent="0.25"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</row>
    <row r="42" spans="22:38" ht="30" customHeight="1" x14ac:dyDescent="0.25"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</row>
    <row r="43" spans="22:38" ht="30" customHeight="1" x14ac:dyDescent="0.25"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</row>
    <row r="44" spans="22:38" ht="30" customHeight="1" x14ac:dyDescent="0.25"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</row>
    <row r="45" spans="22:38" ht="30" customHeight="1" x14ac:dyDescent="0.25"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</row>
    <row r="46" spans="22:38" ht="30" customHeight="1" x14ac:dyDescent="0.25"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</row>
    <row r="47" spans="22:38" ht="30" customHeight="1" x14ac:dyDescent="0.25"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</row>
    <row r="48" spans="22:38" ht="30" customHeight="1" x14ac:dyDescent="0.25"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</row>
    <row r="49" spans="16:38" ht="30" customHeight="1" x14ac:dyDescent="0.25"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</row>
    <row r="50" spans="16:38" ht="30" customHeight="1" x14ac:dyDescent="0.25"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</row>
    <row r="51" spans="16:38" ht="30" customHeight="1" x14ac:dyDescent="0.25"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</row>
    <row r="52" spans="16:38" ht="30" customHeight="1" x14ac:dyDescent="0.25"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</row>
    <row r="53" spans="16:38" ht="30" customHeight="1" x14ac:dyDescent="0.25"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</row>
    <row r="54" spans="16:38" ht="30" customHeight="1" x14ac:dyDescent="0.25"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</row>
    <row r="55" spans="16:38" ht="30" customHeight="1" x14ac:dyDescent="0.25"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</row>
    <row r="56" spans="16:38" ht="30" customHeight="1" x14ac:dyDescent="0.25"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</row>
    <row r="57" spans="16:38" ht="30" customHeight="1" x14ac:dyDescent="0.25"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</row>
    <row r="58" spans="16:38" ht="30" customHeight="1" x14ac:dyDescent="0.25"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</row>
    <row r="59" spans="16:38" ht="30" customHeight="1" x14ac:dyDescent="0.25"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</row>
    <row r="60" spans="16:38" ht="30" customHeight="1" x14ac:dyDescent="0.25"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</row>
    <row r="61" spans="16:38" ht="30" customHeight="1" x14ac:dyDescent="0.25"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</row>
    <row r="62" spans="16:38" ht="30" customHeight="1" x14ac:dyDescent="0.25"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</row>
    <row r="63" spans="16:38" ht="30" customHeight="1" x14ac:dyDescent="0.25"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</row>
    <row r="64" spans="16:38" ht="30" customHeight="1" x14ac:dyDescent="0.25"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</row>
    <row r="65" spans="16:38" ht="30" customHeight="1" x14ac:dyDescent="0.25"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</row>
    <row r="66" spans="16:38" ht="30" customHeight="1" x14ac:dyDescent="0.25"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</row>
    <row r="67" spans="16:38" ht="30" customHeight="1" x14ac:dyDescent="0.25"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</row>
    <row r="68" spans="16:38" ht="30" customHeight="1" x14ac:dyDescent="0.25"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</row>
    <row r="69" spans="16:38" ht="30" customHeight="1" x14ac:dyDescent="0.25"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</row>
    <row r="70" spans="16:38" ht="30" customHeight="1" x14ac:dyDescent="0.25"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</row>
    <row r="71" spans="16:38" ht="30" customHeight="1" x14ac:dyDescent="0.25"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</row>
    <row r="72" spans="16:38" ht="30" customHeight="1" x14ac:dyDescent="0.25"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</row>
    <row r="73" spans="16:38" ht="30" customHeight="1" x14ac:dyDescent="0.25"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</row>
    <row r="74" spans="16:38" ht="30" customHeight="1" x14ac:dyDescent="0.25"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</row>
    <row r="75" spans="16:38" ht="30" customHeight="1" x14ac:dyDescent="0.25"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</row>
    <row r="76" spans="16:38" ht="30" customHeight="1" x14ac:dyDescent="0.25"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</row>
    <row r="77" spans="16:38" ht="30" customHeight="1" x14ac:dyDescent="0.25"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</row>
    <row r="78" spans="16:38" ht="30" customHeight="1" x14ac:dyDescent="0.25"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</row>
    <row r="79" spans="16:38" ht="30" customHeight="1" x14ac:dyDescent="0.25"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</row>
    <row r="80" spans="16:38" ht="30" customHeight="1" x14ac:dyDescent="0.25"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</row>
    <row r="81" spans="16:38" ht="30" customHeight="1" x14ac:dyDescent="0.25"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</row>
    <row r="82" spans="16:38" ht="30" customHeight="1" x14ac:dyDescent="0.25"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</row>
    <row r="83" spans="16:38" ht="30" customHeight="1" x14ac:dyDescent="0.25"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</row>
    <row r="84" spans="16:38" ht="30" customHeight="1" x14ac:dyDescent="0.25"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</row>
    <row r="85" spans="16:38" ht="30" customHeight="1" x14ac:dyDescent="0.25"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</row>
    <row r="86" spans="16:38" ht="30" customHeight="1" x14ac:dyDescent="0.25"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</row>
    <row r="87" spans="16:38" ht="30" customHeight="1" x14ac:dyDescent="0.25"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</row>
    <row r="88" spans="16:38" ht="30" customHeight="1" x14ac:dyDescent="0.25"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</row>
    <row r="89" spans="16:38" ht="30" customHeight="1" x14ac:dyDescent="0.25"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</row>
    <row r="90" spans="16:38" ht="30" customHeight="1" x14ac:dyDescent="0.25"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</row>
    <row r="91" spans="16:38" ht="30" customHeight="1" x14ac:dyDescent="0.25"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</row>
    <row r="92" spans="16:38" ht="30" customHeight="1" x14ac:dyDescent="0.25"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</row>
    <row r="93" spans="16:38" ht="30" customHeight="1" x14ac:dyDescent="0.25"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</row>
    <row r="94" spans="16:38" ht="30" customHeight="1" x14ac:dyDescent="0.25"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</row>
    <row r="95" spans="16:38" ht="30" customHeight="1" x14ac:dyDescent="0.25"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</row>
    <row r="96" spans="16:38" ht="30" customHeight="1" x14ac:dyDescent="0.25"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</row>
    <row r="97" spans="16:38" ht="30" customHeight="1" x14ac:dyDescent="0.25"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</row>
    <row r="98" spans="16:38" ht="30" customHeight="1" x14ac:dyDescent="0.25"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</row>
  </sheetData>
  <sheetProtection algorithmName="SHA-512" hashValue="YxZzxwfYfxe6AhS2xcVh/8/5JQuXyzQ+m9j9qgEpSKB6KO5xNtia2dW2LsHzuoJ8oyH5DqhKDlIjFAiZErrVdQ==" saltValue="HOclNhdjWk8t7cUuxeKppg==" spinCount="100000"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Group Box 1">
              <controlPr defaultSize="0" autoFill="0" autoPict="0">
                <anchor>
                  <from>
                    <xdr:col>4</xdr:col>
                    <xdr:colOff>190500</xdr:colOff>
                    <xdr:row>7</xdr:row>
                    <xdr:rowOff>57150</xdr:rowOff>
                  </from>
                  <to>
                    <xdr:col>35</xdr:col>
                    <xdr:colOff>9525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Option Button 2">
              <controlPr defaultSize="0" autoFill="0" autoLine="0" autoPict="0">
                <anchor>
                  <from>
                    <xdr:col>4</xdr:col>
                    <xdr:colOff>323850</xdr:colOff>
                    <xdr:row>7</xdr:row>
                    <xdr:rowOff>190500</xdr:rowOff>
                  </from>
                  <to>
                    <xdr:col>34</xdr:col>
                    <xdr:colOff>209550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Option Button 3">
              <controlPr defaultSize="0" autoFill="0" autoLine="0" autoPict="0" altText="мне в школе не очень нравится;">
                <anchor>
                  <from>
                    <xdr:col>4</xdr:col>
                    <xdr:colOff>323850</xdr:colOff>
                    <xdr:row>9</xdr:row>
                    <xdr:rowOff>266700</xdr:rowOff>
                  </from>
                  <to>
                    <xdr:col>34</xdr:col>
                    <xdr:colOff>152400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Option Button 4">
              <controlPr defaultSize="0" autoFill="0" autoLine="0" autoPict="0" altText="мне в школе не очень нравится;">
                <anchor>
                  <from>
                    <xdr:col>4</xdr:col>
                    <xdr:colOff>323850</xdr:colOff>
                    <xdr:row>11</xdr:row>
                    <xdr:rowOff>295275</xdr:rowOff>
                  </from>
                  <to>
                    <xdr:col>34</xdr:col>
                    <xdr:colOff>161925</xdr:colOff>
                    <xdr:row>12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A2:AL98"/>
  <sheetViews>
    <sheetView showGridLines="0" showRowColHeaders="0" workbookViewId="0">
      <selection activeCell="E2" sqref="E2:AI2"/>
    </sheetView>
  </sheetViews>
  <sheetFormatPr defaultColWidth="5.7109375" defaultRowHeight="30" customHeight="1" x14ac:dyDescent="0.25"/>
  <cols>
    <col min="1" max="16384" width="5.7109375" style="5"/>
  </cols>
  <sheetData>
    <row r="2" spans="1:38" ht="30" customHeight="1" x14ac:dyDescent="0.25">
      <c r="A2" s="19"/>
      <c r="C2" s="20"/>
    </row>
    <row r="3" spans="1:38" ht="30" customHeight="1" x14ac:dyDescent="0.3">
      <c r="B3" s="21"/>
      <c r="D3" s="22"/>
      <c r="H3" s="23"/>
      <c r="I3" s="23"/>
      <c r="J3" s="23"/>
      <c r="K3" s="23"/>
      <c r="L3" s="23"/>
      <c r="M3" s="24"/>
      <c r="N3" s="24"/>
      <c r="O3" s="24"/>
      <c r="Y3" s="4"/>
      <c r="Z3" s="10"/>
      <c r="AA3" s="10"/>
      <c r="AB3" s="30"/>
      <c r="AC3" s="30"/>
      <c r="AD3" s="10"/>
      <c r="AE3" s="10"/>
      <c r="AF3" s="4"/>
      <c r="AG3" s="4"/>
      <c r="AH3" s="4"/>
      <c r="AI3" s="4"/>
      <c r="AJ3" s="4"/>
      <c r="AK3" s="4"/>
      <c r="AL3" s="4"/>
    </row>
    <row r="4" spans="1:38" ht="30" customHeight="1" x14ac:dyDescent="0.25">
      <c r="Y4" s="4"/>
      <c r="AB4" s="10"/>
      <c r="AC4" s="10"/>
      <c r="AD4" s="10"/>
      <c r="AE4" s="10"/>
      <c r="AF4" s="4"/>
      <c r="AG4" s="4"/>
      <c r="AH4" s="4"/>
      <c r="AI4" s="4"/>
      <c r="AJ4" s="4"/>
      <c r="AK4" s="4"/>
      <c r="AL4" s="4"/>
    </row>
    <row r="5" spans="1:38" ht="30" customHeight="1" x14ac:dyDescent="0.25">
      <c r="C5" s="26"/>
      <c r="D5" s="27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9"/>
      <c r="W5" s="29"/>
      <c r="X5" s="29"/>
      <c r="Y5" s="4"/>
      <c r="Z5" s="10"/>
      <c r="AA5" s="14">
        <v>2</v>
      </c>
      <c r="AB5" s="10"/>
      <c r="AC5" s="10"/>
      <c r="AD5" s="10"/>
      <c r="AE5" s="10"/>
      <c r="AF5" s="4"/>
      <c r="AG5" s="4"/>
      <c r="AH5" s="4"/>
      <c r="AI5" s="4"/>
      <c r="AJ5" s="4"/>
      <c r="AK5" s="4"/>
      <c r="AL5" s="4"/>
    </row>
    <row r="6" spans="1:38" ht="30" customHeight="1" x14ac:dyDescent="0.25">
      <c r="M6" s="4"/>
      <c r="N6" s="4"/>
      <c r="O6" s="4"/>
      <c r="P6" s="4"/>
      <c r="Q6" s="4"/>
      <c r="R6" s="4"/>
      <c r="S6" s="4"/>
      <c r="T6" s="4"/>
      <c r="U6" s="4"/>
      <c r="V6" s="29"/>
      <c r="W6" s="29"/>
      <c r="X6" s="29"/>
      <c r="Y6" s="4"/>
      <c r="Z6" s="10"/>
      <c r="AA6" s="31"/>
      <c r="AB6" s="10"/>
      <c r="AC6" s="10"/>
      <c r="AD6" s="10"/>
      <c r="AE6" s="10"/>
      <c r="AF6" s="4"/>
      <c r="AG6" s="4"/>
      <c r="AH6" s="4"/>
      <c r="AI6" s="4"/>
      <c r="AJ6" s="4"/>
      <c r="AK6" s="4"/>
      <c r="AL6" s="4"/>
    </row>
    <row r="7" spans="1:38" ht="30" customHeight="1" x14ac:dyDescent="0.3">
      <c r="B7" s="17"/>
      <c r="C7" s="18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10"/>
      <c r="AA7" s="31"/>
      <c r="AB7" s="10"/>
      <c r="AC7" s="10"/>
      <c r="AD7" s="10"/>
      <c r="AE7" s="10"/>
      <c r="AF7" s="4"/>
      <c r="AG7" s="4"/>
      <c r="AH7" s="4"/>
      <c r="AI7" s="4"/>
      <c r="AJ7" s="4"/>
      <c r="AK7" s="4"/>
      <c r="AL7" s="4"/>
    </row>
    <row r="8" spans="1:38" ht="30" customHeight="1" x14ac:dyDescent="0.3">
      <c r="B8" s="17"/>
      <c r="C8" s="18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10"/>
      <c r="AA8" s="31"/>
      <c r="AB8" s="10"/>
      <c r="AC8" s="10"/>
      <c r="AD8" s="10"/>
      <c r="AE8" s="10"/>
      <c r="AF8" s="4"/>
      <c r="AG8" s="4"/>
      <c r="AH8" s="4"/>
      <c r="AI8" s="4"/>
      <c r="AJ8" s="4"/>
      <c r="AK8" s="4"/>
      <c r="AL8" s="4"/>
    </row>
    <row r="9" spans="1:38" ht="30" customHeight="1" x14ac:dyDescent="0.25"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10"/>
      <c r="AA9" s="31"/>
      <c r="AB9" s="10"/>
      <c r="AC9" s="10"/>
      <c r="AD9" s="10"/>
      <c r="AE9" s="10"/>
      <c r="AF9" s="4"/>
      <c r="AG9" s="4"/>
      <c r="AH9" s="4"/>
      <c r="AI9" s="4"/>
      <c r="AJ9" s="4"/>
      <c r="AK9" s="4"/>
      <c r="AL9" s="4"/>
    </row>
    <row r="10" spans="1:38" ht="30" customHeight="1" x14ac:dyDescent="0.25"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10"/>
      <c r="AA10" s="31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  <row r="11" spans="1:38" ht="30" customHeight="1" x14ac:dyDescent="0.25"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10"/>
      <c r="AA11" s="31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</row>
    <row r="12" spans="1:38" ht="30" customHeight="1" x14ac:dyDescent="0.25"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10"/>
      <c r="AA12" s="31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</row>
    <row r="13" spans="1:38" ht="30" customHeight="1" x14ac:dyDescent="0.25"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10"/>
      <c r="AA13" s="31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</row>
    <row r="14" spans="1:38" ht="30" customHeight="1" x14ac:dyDescent="0.25"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</row>
    <row r="15" spans="1:38" ht="30" customHeight="1" x14ac:dyDescent="0.25"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</row>
    <row r="16" spans="1:38" ht="30" customHeight="1" x14ac:dyDescent="0.25"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</row>
    <row r="17" spans="13:38" ht="30" customHeight="1" x14ac:dyDescent="0.25"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</row>
    <row r="18" spans="13:38" ht="30" customHeight="1" x14ac:dyDescent="0.25"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AF18" s="4"/>
      <c r="AG18" s="4"/>
      <c r="AH18" s="4"/>
      <c r="AI18" s="4"/>
      <c r="AJ18" s="4"/>
      <c r="AK18" s="4"/>
      <c r="AL18" s="4"/>
    </row>
    <row r="19" spans="13:38" ht="30" customHeight="1" x14ac:dyDescent="0.25"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AF19" s="4"/>
      <c r="AG19" s="4"/>
      <c r="AH19" s="4"/>
      <c r="AI19" s="4"/>
      <c r="AJ19" s="4"/>
      <c r="AK19" s="4"/>
      <c r="AL19" s="4"/>
    </row>
    <row r="20" spans="13:38" ht="30" customHeight="1" x14ac:dyDescent="0.25"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AF20" s="4"/>
      <c r="AG20" s="4"/>
      <c r="AH20" s="4"/>
      <c r="AI20" s="4"/>
      <c r="AJ20" s="4"/>
      <c r="AK20" s="4"/>
      <c r="AL20" s="4"/>
    </row>
    <row r="21" spans="13:38" ht="30" customHeight="1" x14ac:dyDescent="0.25"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AF21" s="4"/>
      <c r="AG21" s="4"/>
      <c r="AH21" s="4"/>
      <c r="AI21" s="4"/>
      <c r="AJ21" s="4"/>
      <c r="AK21" s="4"/>
      <c r="AL21" s="4"/>
    </row>
    <row r="22" spans="13:38" ht="30" customHeight="1" x14ac:dyDescent="0.25"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AF22" s="4"/>
      <c r="AG22" s="4"/>
      <c r="AH22" s="4"/>
      <c r="AI22" s="4"/>
      <c r="AJ22" s="4"/>
      <c r="AK22" s="4"/>
      <c r="AL22" s="4"/>
    </row>
    <row r="23" spans="13:38" ht="30" customHeight="1" x14ac:dyDescent="0.25"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AF23" s="4"/>
      <c r="AG23" s="4"/>
      <c r="AH23" s="4"/>
      <c r="AI23" s="4"/>
      <c r="AJ23" s="4"/>
      <c r="AK23" s="4"/>
      <c r="AL23" s="4"/>
    </row>
    <row r="24" spans="13:38" ht="30" customHeight="1" x14ac:dyDescent="0.25"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AF24" s="4"/>
      <c r="AG24" s="4"/>
      <c r="AH24" s="4"/>
      <c r="AI24" s="4"/>
      <c r="AJ24" s="4"/>
      <c r="AK24" s="4"/>
      <c r="AL24" s="4"/>
    </row>
    <row r="25" spans="13:38" ht="30" customHeight="1" x14ac:dyDescent="0.25"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AF25" s="4"/>
      <c r="AG25" s="4"/>
      <c r="AH25" s="4"/>
      <c r="AI25" s="4"/>
      <c r="AJ25" s="4"/>
      <c r="AK25" s="4"/>
      <c r="AL25" s="4"/>
    </row>
    <row r="26" spans="13:38" ht="30" customHeight="1" x14ac:dyDescent="0.25"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AF26" s="4"/>
      <c r="AG26" s="4"/>
      <c r="AH26" s="4"/>
      <c r="AI26" s="4"/>
      <c r="AJ26" s="4"/>
      <c r="AK26" s="4"/>
      <c r="AL26" s="4"/>
    </row>
    <row r="27" spans="13:38" ht="30" customHeight="1" x14ac:dyDescent="0.25">
      <c r="P27" s="4"/>
      <c r="Q27" s="4"/>
      <c r="R27" s="4"/>
      <c r="S27" s="4"/>
      <c r="T27" s="4"/>
      <c r="U27" s="4"/>
      <c r="V27" s="4"/>
      <c r="W27" s="4"/>
      <c r="X27" s="4"/>
      <c r="Y27" s="4"/>
      <c r="AF27" s="4"/>
      <c r="AG27" s="4"/>
      <c r="AH27" s="4"/>
      <c r="AI27" s="4"/>
      <c r="AJ27" s="4"/>
      <c r="AK27" s="4"/>
      <c r="AL27" s="4"/>
    </row>
    <row r="28" spans="13:38" ht="30" customHeight="1" x14ac:dyDescent="0.25">
      <c r="V28" s="4"/>
      <c r="W28" s="4"/>
      <c r="X28" s="4"/>
      <c r="Y28" s="4"/>
      <c r="AF28" s="4"/>
      <c r="AG28" s="4"/>
      <c r="AH28" s="4"/>
      <c r="AI28" s="4"/>
      <c r="AJ28" s="4"/>
      <c r="AK28" s="4"/>
      <c r="AL28" s="4"/>
    </row>
    <row r="29" spans="13:38" ht="30" customHeight="1" x14ac:dyDescent="0.25">
      <c r="V29" s="4"/>
      <c r="W29" s="4"/>
      <c r="X29" s="4"/>
      <c r="Y29" s="4"/>
      <c r="AF29" s="4"/>
      <c r="AG29" s="4"/>
      <c r="AH29" s="4"/>
      <c r="AI29" s="4"/>
      <c r="AJ29" s="4"/>
      <c r="AK29" s="4"/>
      <c r="AL29" s="4"/>
    </row>
    <row r="30" spans="13:38" ht="30" customHeight="1" x14ac:dyDescent="0.25">
      <c r="V30" s="4"/>
      <c r="W30" s="4"/>
      <c r="X30" s="4"/>
      <c r="Y30" s="4"/>
      <c r="AF30" s="4"/>
      <c r="AG30" s="4"/>
      <c r="AH30" s="4"/>
      <c r="AI30" s="4"/>
      <c r="AJ30" s="4"/>
      <c r="AK30" s="4"/>
      <c r="AL30" s="4"/>
    </row>
    <row r="31" spans="13:38" ht="30" customHeight="1" x14ac:dyDescent="0.25">
      <c r="P31" s="4"/>
      <c r="Q31" s="4"/>
      <c r="R31" s="4"/>
      <c r="S31" s="4"/>
      <c r="T31" s="4"/>
      <c r="U31" s="4"/>
      <c r="V31" s="4"/>
      <c r="W31" s="4"/>
      <c r="X31" s="4"/>
      <c r="Y31" s="4"/>
      <c r="AF31" s="4"/>
      <c r="AG31" s="4"/>
      <c r="AH31" s="4"/>
      <c r="AI31" s="4"/>
      <c r="AJ31" s="4"/>
      <c r="AK31" s="4"/>
      <c r="AL31" s="4"/>
    </row>
    <row r="32" spans="13:38" ht="30" customHeight="1" x14ac:dyDescent="0.25">
      <c r="V32" s="4"/>
      <c r="W32" s="4"/>
      <c r="X32" s="4"/>
      <c r="Y32" s="4"/>
      <c r="AF32" s="4"/>
      <c r="AG32" s="4"/>
      <c r="AH32" s="4"/>
      <c r="AI32" s="4"/>
      <c r="AJ32" s="4"/>
      <c r="AK32" s="4"/>
      <c r="AL32" s="4"/>
    </row>
    <row r="33" spans="22:38" ht="30" customHeight="1" x14ac:dyDescent="0.25">
      <c r="V33" s="4"/>
      <c r="W33" s="4"/>
      <c r="X33" s="4"/>
      <c r="Y33" s="4"/>
      <c r="AF33" s="4"/>
      <c r="AG33" s="4"/>
      <c r="AH33" s="4"/>
      <c r="AI33" s="4"/>
      <c r="AJ33" s="4"/>
      <c r="AK33" s="4"/>
      <c r="AL33" s="4"/>
    </row>
    <row r="34" spans="22:38" ht="30" customHeight="1" x14ac:dyDescent="0.25">
      <c r="V34" s="4"/>
      <c r="W34" s="4"/>
      <c r="X34" s="4"/>
      <c r="Y34" s="4"/>
      <c r="AF34" s="4"/>
      <c r="AG34" s="4"/>
      <c r="AH34" s="4"/>
      <c r="AI34" s="4"/>
      <c r="AJ34" s="4"/>
      <c r="AK34" s="4"/>
      <c r="AL34" s="4"/>
    </row>
    <row r="35" spans="22:38" ht="30" customHeight="1" x14ac:dyDescent="0.25">
      <c r="W35" s="4"/>
      <c r="X35" s="4"/>
      <c r="Y35" s="4"/>
      <c r="AF35" s="4"/>
      <c r="AG35" s="4"/>
      <c r="AH35" s="4"/>
      <c r="AI35" s="4"/>
      <c r="AJ35" s="4"/>
      <c r="AK35" s="4"/>
      <c r="AL35" s="4"/>
    </row>
    <row r="36" spans="22:38" ht="30" customHeight="1" x14ac:dyDescent="0.25">
      <c r="W36" s="4"/>
      <c r="X36" s="4"/>
      <c r="Y36" s="4"/>
      <c r="AF36" s="4"/>
      <c r="AG36" s="4"/>
      <c r="AH36" s="4"/>
      <c r="AI36" s="4"/>
      <c r="AJ36" s="4"/>
      <c r="AK36" s="4"/>
      <c r="AL36" s="4"/>
    </row>
    <row r="37" spans="22:38" ht="30" customHeight="1" x14ac:dyDescent="0.25">
      <c r="W37" s="4"/>
      <c r="X37" s="4"/>
      <c r="Y37" s="4"/>
      <c r="AF37" s="4"/>
      <c r="AG37" s="4"/>
      <c r="AH37" s="4"/>
      <c r="AI37" s="4"/>
      <c r="AJ37" s="4"/>
      <c r="AK37" s="4"/>
      <c r="AL37" s="4"/>
    </row>
    <row r="38" spans="22:38" ht="30" customHeight="1" x14ac:dyDescent="0.25"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</row>
    <row r="39" spans="22:38" ht="30" customHeight="1" x14ac:dyDescent="0.25"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</row>
    <row r="40" spans="22:38" ht="30" customHeight="1" x14ac:dyDescent="0.25"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</row>
    <row r="41" spans="22:38" ht="30" customHeight="1" x14ac:dyDescent="0.25"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</row>
    <row r="42" spans="22:38" ht="30" customHeight="1" x14ac:dyDescent="0.25"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</row>
    <row r="43" spans="22:38" ht="30" customHeight="1" x14ac:dyDescent="0.25"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</row>
    <row r="44" spans="22:38" ht="30" customHeight="1" x14ac:dyDescent="0.25"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</row>
    <row r="45" spans="22:38" ht="30" customHeight="1" x14ac:dyDescent="0.25"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</row>
    <row r="46" spans="22:38" ht="30" customHeight="1" x14ac:dyDescent="0.25"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</row>
    <row r="47" spans="22:38" ht="30" customHeight="1" x14ac:dyDescent="0.25"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</row>
    <row r="48" spans="22:38" ht="30" customHeight="1" x14ac:dyDescent="0.25"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</row>
    <row r="49" spans="16:38" ht="30" customHeight="1" x14ac:dyDescent="0.25"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</row>
    <row r="50" spans="16:38" ht="30" customHeight="1" x14ac:dyDescent="0.25"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</row>
    <row r="51" spans="16:38" ht="30" customHeight="1" x14ac:dyDescent="0.25"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</row>
    <row r="52" spans="16:38" ht="30" customHeight="1" x14ac:dyDescent="0.25"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</row>
    <row r="53" spans="16:38" ht="30" customHeight="1" x14ac:dyDescent="0.25"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</row>
    <row r="54" spans="16:38" ht="30" customHeight="1" x14ac:dyDescent="0.25"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</row>
    <row r="55" spans="16:38" ht="30" customHeight="1" x14ac:dyDescent="0.25"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</row>
    <row r="56" spans="16:38" ht="30" customHeight="1" x14ac:dyDescent="0.25"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</row>
    <row r="57" spans="16:38" ht="30" customHeight="1" x14ac:dyDescent="0.25"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</row>
    <row r="58" spans="16:38" ht="30" customHeight="1" x14ac:dyDescent="0.25"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</row>
    <row r="59" spans="16:38" ht="30" customHeight="1" x14ac:dyDescent="0.25"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</row>
    <row r="60" spans="16:38" ht="30" customHeight="1" x14ac:dyDescent="0.25"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</row>
    <row r="61" spans="16:38" ht="30" customHeight="1" x14ac:dyDescent="0.25"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</row>
    <row r="62" spans="16:38" ht="30" customHeight="1" x14ac:dyDescent="0.25"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</row>
    <row r="63" spans="16:38" ht="30" customHeight="1" x14ac:dyDescent="0.25"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</row>
    <row r="64" spans="16:38" ht="30" customHeight="1" x14ac:dyDescent="0.25"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</row>
    <row r="65" spans="16:38" ht="30" customHeight="1" x14ac:dyDescent="0.25"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</row>
    <row r="66" spans="16:38" ht="30" customHeight="1" x14ac:dyDescent="0.25"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</row>
    <row r="67" spans="16:38" ht="30" customHeight="1" x14ac:dyDescent="0.25"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</row>
    <row r="68" spans="16:38" ht="30" customHeight="1" x14ac:dyDescent="0.25"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</row>
    <row r="69" spans="16:38" ht="30" customHeight="1" x14ac:dyDescent="0.25"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</row>
    <row r="70" spans="16:38" ht="30" customHeight="1" x14ac:dyDescent="0.25"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</row>
    <row r="71" spans="16:38" ht="30" customHeight="1" x14ac:dyDescent="0.25"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</row>
    <row r="72" spans="16:38" ht="30" customHeight="1" x14ac:dyDescent="0.25"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</row>
    <row r="73" spans="16:38" ht="30" customHeight="1" x14ac:dyDescent="0.25"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</row>
    <row r="74" spans="16:38" ht="30" customHeight="1" x14ac:dyDescent="0.25"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</row>
    <row r="75" spans="16:38" ht="30" customHeight="1" x14ac:dyDescent="0.25"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</row>
    <row r="76" spans="16:38" ht="30" customHeight="1" x14ac:dyDescent="0.25"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</row>
    <row r="77" spans="16:38" ht="30" customHeight="1" x14ac:dyDescent="0.25"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</row>
    <row r="78" spans="16:38" ht="30" customHeight="1" x14ac:dyDescent="0.25"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</row>
    <row r="79" spans="16:38" ht="30" customHeight="1" x14ac:dyDescent="0.25"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</row>
    <row r="80" spans="16:38" ht="30" customHeight="1" x14ac:dyDescent="0.25"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</row>
    <row r="81" spans="16:38" ht="30" customHeight="1" x14ac:dyDescent="0.25"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</row>
    <row r="82" spans="16:38" ht="30" customHeight="1" x14ac:dyDescent="0.25"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</row>
    <row r="83" spans="16:38" ht="30" customHeight="1" x14ac:dyDescent="0.25"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</row>
    <row r="84" spans="16:38" ht="30" customHeight="1" x14ac:dyDescent="0.25"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</row>
    <row r="85" spans="16:38" ht="30" customHeight="1" x14ac:dyDescent="0.25"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</row>
    <row r="86" spans="16:38" ht="30" customHeight="1" x14ac:dyDescent="0.25"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</row>
    <row r="87" spans="16:38" ht="30" customHeight="1" x14ac:dyDescent="0.25"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</row>
    <row r="88" spans="16:38" ht="30" customHeight="1" x14ac:dyDescent="0.25"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</row>
    <row r="89" spans="16:38" ht="30" customHeight="1" x14ac:dyDescent="0.25"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</row>
    <row r="90" spans="16:38" ht="30" customHeight="1" x14ac:dyDescent="0.25"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</row>
    <row r="91" spans="16:38" ht="30" customHeight="1" x14ac:dyDescent="0.25"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</row>
    <row r="92" spans="16:38" ht="30" customHeight="1" x14ac:dyDescent="0.25"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</row>
    <row r="93" spans="16:38" ht="30" customHeight="1" x14ac:dyDescent="0.25"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</row>
    <row r="94" spans="16:38" ht="30" customHeight="1" x14ac:dyDescent="0.25"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</row>
    <row r="95" spans="16:38" ht="30" customHeight="1" x14ac:dyDescent="0.25"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</row>
    <row r="96" spans="16:38" ht="30" customHeight="1" x14ac:dyDescent="0.25"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</row>
    <row r="97" spans="16:38" ht="30" customHeight="1" x14ac:dyDescent="0.25"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</row>
    <row r="98" spans="16:38" ht="30" customHeight="1" x14ac:dyDescent="0.25"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</row>
  </sheetData>
  <sheetProtection algorithmName="SHA-512" hashValue="zgwX55evan4xbCrltQ6gHKNzbXagvI+kqJj4Fdzckwsm+jalCQkKcaLTrCdVotROQj2HLPNFx5dW1a4IY1dvLg==" saltValue="dmW5GwKe1PcwUWBJ8X3zTA==" spinCount="100000"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Group Box 1">
              <controlPr defaultSize="0" autoFill="0" autoPict="0">
                <anchor>
                  <from>
                    <xdr:col>4</xdr:col>
                    <xdr:colOff>190500</xdr:colOff>
                    <xdr:row>7</xdr:row>
                    <xdr:rowOff>57150</xdr:rowOff>
                  </from>
                  <to>
                    <xdr:col>35</xdr:col>
                    <xdr:colOff>9525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Option Button 2">
              <controlPr defaultSize="0" autoFill="0" autoLine="0" autoPict="0">
                <anchor>
                  <from>
                    <xdr:col>4</xdr:col>
                    <xdr:colOff>323850</xdr:colOff>
                    <xdr:row>7</xdr:row>
                    <xdr:rowOff>190500</xdr:rowOff>
                  </from>
                  <to>
                    <xdr:col>34</xdr:col>
                    <xdr:colOff>209550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Option Button 3">
              <controlPr defaultSize="0" autoFill="0" autoLine="0" autoPict="0" altText="мне в школе не очень нравится;">
                <anchor>
                  <from>
                    <xdr:col>4</xdr:col>
                    <xdr:colOff>323850</xdr:colOff>
                    <xdr:row>9</xdr:row>
                    <xdr:rowOff>266700</xdr:rowOff>
                  </from>
                  <to>
                    <xdr:col>34</xdr:col>
                    <xdr:colOff>152400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Option Button 4">
              <controlPr defaultSize="0" autoFill="0" autoLine="0" autoPict="0" altText="мне в школе не очень нравится;">
                <anchor>
                  <from>
                    <xdr:col>4</xdr:col>
                    <xdr:colOff>323850</xdr:colOff>
                    <xdr:row>11</xdr:row>
                    <xdr:rowOff>295275</xdr:rowOff>
                  </from>
                  <to>
                    <xdr:col>34</xdr:col>
                    <xdr:colOff>161925</xdr:colOff>
                    <xdr:row>12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2:AL98"/>
  <sheetViews>
    <sheetView showGridLines="0" showRowColHeaders="0" workbookViewId="0">
      <selection activeCell="E2" sqref="E2:AI2"/>
    </sheetView>
  </sheetViews>
  <sheetFormatPr defaultColWidth="5.7109375" defaultRowHeight="30" customHeight="1" x14ac:dyDescent="0.25"/>
  <cols>
    <col min="1" max="16384" width="5.7109375" style="5"/>
  </cols>
  <sheetData>
    <row r="2" spans="1:38" ht="30" customHeight="1" x14ac:dyDescent="0.25">
      <c r="A2" s="19"/>
      <c r="C2" s="20"/>
    </row>
    <row r="3" spans="1:38" ht="30" customHeight="1" x14ac:dyDescent="0.3">
      <c r="B3" s="21"/>
      <c r="D3" s="22"/>
      <c r="H3" s="23"/>
      <c r="I3" s="23"/>
      <c r="J3" s="23"/>
      <c r="K3" s="23"/>
      <c r="L3" s="23"/>
      <c r="M3" s="24"/>
      <c r="N3" s="24"/>
      <c r="O3" s="24"/>
      <c r="Y3" s="4"/>
      <c r="Z3" s="10"/>
      <c r="AA3" s="10"/>
      <c r="AB3" s="30"/>
      <c r="AC3" s="30"/>
      <c r="AD3" s="10"/>
      <c r="AE3" s="10"/>
      <c r="AF3" s="4"/>
      <c r="AG3" s="4"/>
      <c r="AH3" s="4"/>
      <c r="AI3" s="4"/>
      <c r="AJ3" s="4"/>
      <c r="AK3" s="4"/>
      <c r="AL3" s="4"/>
    </row>
    <row r="4" spans="1:38" ht="30" customHeight="1" x14ac:dyDescent="0.25">
      <c r="Y4" s="4"/>
      <c r="AB4" s="10"/>
      <c r="AC4" s="10"/>
      <c r="AD4" s="10"/>
      <c r="AE4" s="10"/>
      <c r="AF4" s="4"/>
      <c r="AG4" s="4"/>
      <c r="AH4" s="4"/>
      <c r="AI4" s="4"/>
      <c r="AJ4" s="4"/>
      <c r="AK4" s="4"/>
      <c r="AL4" s="4"/>
    </row>
    <row r="5" spans="1:38" ht="30" customHeight="1" x14ac:dyDescent="0.25">
      <c r="C5" s="26"/>
      <c r="D5" s="27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9"/>
      <c r="W5" s="29"/>
      <c r="X5" s="29"/>
      <c r="Y5" s="4"/>
      <c r="Z5" s="10"/>
      <c r="AA5" s="14">
        <v>2</v>
      </c>
      <c r="AB5" s="10"/>
      <c r="AC5" s="10"/>
      <c r="AD5" s="10"/>
      <c r="AE5" s="10"/>
      <c r="AF5" s="4"/>
      <c r="AG5" s="4"/>
      <c r="AH5" s="4"/>
      <c r="AI5" s="4"/>
      <c r="AJ5" s="4"/>
      <c r="AK5" s="4"/>
      <c r="AL5" s="4"/>
    </row>
    <row r="6" spans="1:38" ht="30" customHeight="1" x14ac:dyDescent="0.25">
      <c r="M6" s="4"/>
      <c r="N6" s="4"/>
      <c r="O6" s="4"/>
      <c r="P6" s="4"/>
      <c r="Q6" s="4"/>
      <c r="R6" s="4"/>
      <c r="S6" s="4"/>
      <c r="T6" s="4"/>
      <c r="U6" s="4"/>
      <c r="V6" s="29"/>
      <c r="W6" s="29"/>
      <c r="X6" s="29"/>
      <c r="Y6" s="4"/>
      <c r="Z6" s="10"/>
      <c r="AA6" s="31"/>
      <c r="AB6" s="10"/>
      <c r="AC6" s="10"/>
      <c r="AD6" s="10"/>
      <c r="AE6" s="10"/>
      <c r="AF6" s="4"/>
      <c r="AG6" s="4"/>
      <c r="AH6" s="4"/>
      <c r="AI6" s="4"/>
      <c r="AJ6" s="4"/>
      <c r="AK6" s="4"/>
      <c r="AL6" s="4"/>
    </row>
    <row r="7" spans="1:38" ht="30" customHeight="1" x14ac:dyDescent="0.3">
      <c r="B7" s="17"/>
      <c r="C7" s="18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10"/>
      <c r="AA7" s="31"/>
      <c r="AB7" s="10"/>
      <c r="AC7" s="10"/>
      <c r="AD7" s="10"/>
      <c r="AE7" s="10"/>
      <c r="AF7" s="4"/>
      <c r="AG7" s="4"/>
      <c r="AH7" s="4"/>
      <c r="AI7" s="4"/>
      <c r="AJ7" s="4"/>
      <c r="AK7" s="4"/>
      <c r="AL7" s="4"/>
    </row>
    <row r="8" spans="1:38" ht="30" customHeight="1" x14ac:dyDescent="0.3">
      <c r="B8" s="17"/>
      <c r="C8" s="18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10"/>
      <c r="AA8" s="31"/>
      <c r="AB8" s="10"/>
      <c r="AC8" s="10"/>
      <c r="AD8" s="10"/>
      <c r="AE8" s="10"/>
      <c r="AF8" s="4"/>
      <c r="AG8" s="4"/>
      <c r="AH8" s="4"/>
      <c r="AI8" s="4"/>
      <c r="AJ8" s="4"/>
      <c r="AK8" s="4"/>
      <c r="AL8" s="4"/>
    </row>
    <row r="9" spans="1:38" ht="30" customHeight="1" x14ac:dyDescent="0.25"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10"/>
      <c r="AA9" s="31"/>
      <c r="AB9" s="10"/>
      <c r="AC9" s="10"/>
      <c r="AD9" s="10"/>
      <c r="AE9" s="10"/>
      <c r="AF9" s="4"/>
      <c r="AG9" s="4"/>
      <c r="AH9" s="4"/>
      <c r="AI9" s="4"/>
      <c r="AJ9" s="4"/>
      <c r="AK9" s="4"/>
      <c r="AL9" s="4"/>
    </row>
    <row r="10" spans="1:38" ht="30" customHeight="1" x14ac:dyDescent="0.25"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10"/>
      <c r="AA10" s="31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  <row r="11" spans="1:38" ht="30" customHeight="1" x14ac:dyDescent="0.25"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10"/>
      <c r="AA11" s="31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</row>
    <row r="12" spans="1:38" ht="30" customHeight="1" x14ac:dyDescent="0.25"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10"/>
      <c r="AA12" s="31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</row>
    <row r="13" spans="1:38" ht="30" customHeight="1" x14ac:dyDescent="0.25"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10"/>
      <c r="AA13" s="31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</row>
    <row r="14" spans="1:38" ht="30" customHeight="1" x14ac:dyDescent="0.25"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</row>
    <row r="15" spans="1:38" ht="30" customHeight="1" x14ac:dyDescent="0.25"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</row>
    <row r="16" spans="1:38" ht="30" customHeight="1" x14ac:dyDescent="0.25"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</row>
    <row r="17" spans="13:38" ht="30" customHeight="1" x14ac:dyDescent="0.25"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</row>
    <row r="18" spans="13:38" ht="30" customHeight="1" x14ac:dyDescent="0.25"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AF18" s="4"/>
      <c r="AG18" s="4"/>
      <c r="AH18" s="4"/>
      <c r="AI18" s="4"/>
      <c r="AJ18" s="4"/>
      <c r="AK18" s="4"/>
      <c r="AL18" s="4"/>
    </row>
    <row r="19" spans="13:38" ht="30" customHeight="1" x14ac:dyDescent="0.25"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AF19" s="4"/>
      <c r="AG19" s="4"/>
      <c r="AH19" s="4"/>
      <c r="AI19" s="4"/>
      <c r="AJ19" s="4"/>
      <c r="AK19" s="4"/>
      <c r="AL19" s="4"/>
    </row>
    <row r="20" spans="13:38" ht="30" customHeight="1" x14ac:dyDescent="0.25"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AF20" s="4"/>
      <c r="AG20" s="4"/>
      <c r="AH20" s="4"/>
      <c r="AI20" s="4"/>
      <c r="AJ20" s="4"/>
      <c r="AK20" s="4"/>
      <c r="AL20" s="4"/>
    </row>
    <row r="21" spans="13:38" ht="30" customHeight="1" x14ac:dyDescent="0.25"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AF21" s="4"/>
      <c r="AG21" s="4"/>
      <c r="AH21" s="4"/>
      <c r="AI21" s="4"/>
      <c r="AJ21" s="4"/>
      <c r="AK21" s="4"/>
      <c r="AL21" s="4"/>
    </row>
    <row r="22" spans="13:38" ht="30" customHeight="1" x14ac:dyDescent="0.25"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AF22" s="4"/>
      <c r="AG22" s="4"/>
      <c r="AH22" s="4"/>
      <c r="AI22" s="4"/>
      <c r="AJ22" s="4"/>
      <c r="AK22" s="4"/>
      <c r="AL22" s="4"/>
    </row>
    <row r="23" spans="13:38" ht="30" customHeight="1" x14ac:dyDescent="0.25"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AF23" s="4"/>
      <c r="AG23" s="4"/>
      <c r="AH23" s="4"/>
      <c r="AI23" s="4"/>
      <c r="AJ23" s="4"/>
      <c r="AK23" s="4"/>
      <c r="AL23" s="4"/>
    </row>
    <row r="24" spans="13:38" ht="30" customHeight="1" x14ac:dyDescent="0.25"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AF24" s="4"/>
      <c r="AG24" s="4"/>
      <c r="AH24" s="4"/>
      <c r="AI24" s="4"/>
      <c r="AJ24" s="4"/>
      <c r="AK24" s="4"/>
      <c r="AL24" s="4"/>
    </row>
    <row r="25" spans="13:38" ht="30" customHeight="1" x14ac:dyDescent="0.25"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AF25" s="4"/>
      <c r="AG25" s="4"/>
      <c r="AH25" s="4"/>
      <c r="AI25" s="4"/>
      <c r="AJ25" s="4"/>
      <c r="AK25" s="4"/>
      <c r="AL25" s="4"/>
    </row>
    <row r="26" spans="13:38" ht="30" customHeight="1" x14ac:dyDescent="0.25"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AF26" s="4"/>
      <c r="AG26" s="4"/>
      <c r="AH26" s="4"/>
      <c r="AI26" s="4"/>
      <c r="AJ26" s="4"/>
      <c r="AK26" s="4"/>
      <c r="AL26" s="4"/>
    </row>
    <row r="27" spans="13:38" ht="30" customHeight="1" x14ac:dyDescent="0.25">
      <c r="P27" s="4"/>
      <c r="Q27" s="4"/>
      <c r="R27" s="4"/>
      <c r="S27" s="4"/>
      <c r="T27" s="4"/>
      <c r="U27" s="4"/>
      <c r="V27" s="4"/>
      <c r="W27" s="4"/>
      <c r="X27" s="4"/>
      <c r="Y27" s="4"/>
      <c r="AF27" s="4"/>
      <c r="AG27" s="4"/>
      <c r="AH27" s="4"/>
      <c r="AI27" s="4"/>
      <c r="AJ27" s="4"/>
      <c r="AK27" s="4"/>
      <c r="AL27" s="4"/>
    </row>
    <row r="28" spans="13:38" ht="30" customHeight="1" x14ac:dyDescent="0.25">
      <c r="V28" s="4"/>
      <c r="W28" s="4"/>
      <c r="X28" s="4"/>
      <c r="Y28" s="4"/>
      <c r="AF28" s="4"/>
      <c r="AG28" s="4"/>
      <c r="AH28" s="4"/>
      <c r="AI28" s="4"/>
      <c r="AJ28" s="4"/>
      <c r="AK28" s="4"/>
      <c r="AL28" s="4"/>
    </row>
    <row r="29" spans="13:38" ht="30" customHeight="1" x14ac:dyDescent="0.25">
      <c r="V29" s="4"/>
      <c r="W29" s="4"/>
      <c r="X29" s="4"/>
      <c r="Y29" s="4"/>
      <c r="AF29" s="4"/>
      <c r="AG29" s="4"/>
      <c r="AH29" s="4"/>
      <c r="AI29" s="4"/>
      <c r="AJ29" s="4"/>
      <c r="AK29" s="4"/>
      <c r="AL29" s="4"/>
    </row>
    <row r="30" spans="13:38" ht="30" customHeight="1" x14ac:dyDescent="0.25">
      <c r="V30" s="4"/>
      <c r="W30" s="4"/>
      <c r="X30" s="4"/>
      <c r="Y30" s="4"/>
      <c r="AF30" s="4"/>
      <c r="AG30" s="4"/>
      <c r="AH30" s="4"/>
      <c r="AI30" s="4"/>
      <c r="AJ30" s="4"/>
      <c r="AK30" s="4"/>
      <c r="AL30" s="4"/>
    </row>
    <row r="31" spans="13:38" ht="30" customHeight="1" x14ac:dyDescent="0.25">
      <c r="P31" s="4"/>
      <c r="Q31" s="4"/>
      <c r="R31" s="4"/>
      <c r="S31" s="4"/>
      <c r="T31" s="4"/>
      <c r="U31" s="4"/>
      <c r="V31" s="4"/>
      <c r="W31" s="4"/>
      <c r="X31" s="4"/>
      <c r="Y31" s="4"/>
      <c r="AF31" s="4"/>
      <c r="AG31" s="4"/>
      <c r="AH31" s="4"/>
      <c r="AI31" s="4"/>
      <c r="AJ31" s="4"/>
      <c r="AK31" s="4"/>
      <c r="AL31" s="4"/>
    </row>
    <row r="32" spans="13:38" ht="30" customHeight="1" x14ac:dyDescent="0.25">
      <c r="V32" s="4"/>
      <c r="W32" s="4"/>
      <c r="X32" s="4"/>
      <c r="Y32" s="4"/>
      <c r="AF32" s="4"/>
      <c r="AG32" s="4"/>
      <c r="AH32" s="4"/>
      <c r="AI32" s="4"/>
      <c r="AJ32" s="4"/>
      <c r="AK32" s="4"/>
      <c r="AL32" s="4"/>
    </row>
    <row r="33" spans="22:38" ht="30" customHeight="1" x14ac:dyDescent="0.25">
      <c r="V33" s="4"/>
      <c r="W33" s="4"/>
      <c r="X33" s="4"/>
      <c r="Y33" s="4"/>
      <c r="AF33" s="4"/>
      <c r="AG33" s="4"/>
      <c r="AH33" s="4"/>
      <c r="AI33" s="4"/>
      <c r="AJ33" s="4"/>
      <c r="AK33" s="4"/>
      <c r="AL33" s="4"/>
    </row>
    <row r="34" spans="22:38" ht="30" customHeight="1" x14ac:dyDescent="0.25">
      <c r="V34" s="4"/>
      <c r="W34" s="4"/>
      <c r="X34" s="4"/>
      <c r="Y34" s="4"/>
      <c r="AF34" s="4"/>
      <c r="AG34" s="4"/>
      <c r="AH34" s="4"/>
      <c r="AI34" s="4"/>
      <c r="AJ34" s="4"/>
      <c r="AK34" s="4"/>
      <c r="AL34" s="4"/>
    </row>
    <row r="35" spans="22:38" ht="30" customHeight="1" x14ac:dyDescent="0.25">
      <c r="W35" s="4"/>
      <c r="X35" s="4"/>
      <c r="Y35" s="4"/>
      <c r="AF35" s="4"/>
      <c r="AG35" s="4"/>
      <c r="AH35" s="4"/>
      <c r="AI35" s="4"/>
      <c r="AJ35" s="4"/>
      <c r="AK35" s="4"/>
      <c r="AL35" s="4"/>
    </row>
    <row r="36" spans="22:38" ht="30" customHeight="1" x14ac:dyDescent="0.25">
      <c r="W36" s="4"/>
      <c r="X36" s="4"/>
      <c r="Y36" s="4"/>
      <c r="AF36" s="4"/>
      <c r="AG36" s="4"/>
      <c r="AH36" s="4"/>
      <c r="AI36" s="4"/>
      <c r="AJ36" s="4"/>
      <c r="AK36" s="4"/>
      <c r="AL36" s="4"/>
    </row>
    <row r="37" spans="22:38" ht="30" customHeight="1" x14ac:dyDescent="0.25">
      <c r="W37" s="4"/>
      <c r="X37" s="4"/>
      <c r="Y37" s="4"/>
      <c r="AF37" s="4"/>
      <c r="AG37" s="4"/>
      <c r="AH37" s="4"/>
      <c r="AI37" s="4"/>
      <c r="AJ37" s="4"/>
      <c r="AK37" s="4"/>
      <c r="AL37" s="4"/>
    </row>
    <row r="38" spans="22:38" ht="30" customHeight="1" x14ac:dyDescent="0.25"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</row>
    <row r="39" spans="22:38" ht="30" customHeight="1" x14ac:dyDescent="0.25"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</row>
    <row r="40" spans="22:38" ht="30" customHeight="1" x14ac:dyDescent="0.25"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</row>
    <row r="41" spans="22:38" ht="30" customHeight="1" x14ac:dyDescent="0.25"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</row>
    <row r="42" spans="22:38" ht="30" customHeight="1" x14ac:dyDescent="0.25"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</row>
    <row r="43" spans="22:38" ht="30" customHeight="1" x14ac:dyDescent="0.25"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</row>
    <row r="44" spans="22:38" ht="30" customHeight="1" x14ac:dyDescent="0.25"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</row>
    <row r="45" spans="22:38" ht="30" customHeight="1" x14ac:dyDescent="0.25"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</row>
    <row r="46" spans="22:38" ht="30" customHeight="1" x14ac:dyDescent="0.25"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</row>
    <row r="47" spans="22:38" ht="30" customHeight="1" x14ac:dyDescent="0.25"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</row>
    <row r="48" spans="22:38" ht="30" customHeight="1" x14ac:dyDescent="0.25"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</row>
    <row r="49" spans="16:38" ht="30" customHeight="1" x14ac:dyDescent="0.25"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</row>
    <row r="50" spans="16:38" ht="30" customHeight="1" x14ac:dyDescent="0.25"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</row>
    <row r="51" spans="16:38" ht="30" customHeight="1" x14ac:dyDescent="0.25"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</row>
    <row r="52" spans="16:38" ht="30" customHeight="1" x14ac:dyDescent="0.25"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</row>
    <row r="53" spans="16:38" ht="30" customHeight="1" x14ac:dyDescent="0.25"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</row>
    <row r="54" spans="16:38" ht="30" customHeight="1" x14ac:dyDescent="0.25"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</row>
    <row r="55" spans="16:38" ht="30" customHeight="1" x14ac:dyDescent="0.25"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</row>
    <row r="56" spans="16:38" ht="30" customHeight="1" x14ac:dyDescent="0.25"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</row>
    <row r="57" spans="16:38" ht="30" customHeight="1" x14ac:dyDescent="0.25"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</row>
    <row r="58" spans="16:38" ht="30" customHeight="1" x14ac:dyDescent="0.25"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</row>
    <row r="59" spans="16:38" ht="30" customHeight="1" x14ac:dyDescent="0.25"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</row>
    <row r="60" spans="16:38" ht="30" customHeight="1" x14ac:dyDescent="0.25"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</row>
    <row r="61" spans="16:38" ht="30" customHeight="1" x14ac:dyDescent="0.25"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</row>
    <row r="62" spans="16:38" ht="30" customHeight="1" x14ac:dyDescent="0.25"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</row>
    <row r="63" spans="16:38" ht="30" customHeight="1" x14ac:dyDescent="0.25"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</row>
    <row r="64" spans="16:38" ht="30" customHeight="1" x14ac:dyDescent="0.25"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</row>
    <row r="65" spans="16:38" ht="30" customHeight="1" x14ac:dyDescent="0.25"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</row>
    <row r="66" spans="16:38" ht="30" customHeight="1" x14ac:dyDescent="0.25"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</row>
    <row r="67" spans="16:38" ht="30" customHeight="1" x14ac:dyDescent="0.25"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</row>
    <row r="68" spans="16:38" ht="30" customHeight="1" x14ac:dyDescent="0.25"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</row>
    <row r="69" spans="16:38" ht="30" customHeight="1" x14ac:dyDescent="0.25"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</row>
    <row r="70" spans="16:38" ht="30" customHeight="1" x14ac:dyDescent="0.25"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</row>
    <row r="71" spans="16:38" ht="30" customHeight="1" x14ac:dyDescent="0.25"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</row>
    <row r="72" spans="16:38" ht="30" customHeight="1" x14ac:dyDescent="0.25"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</row>
    <row r="73" spans="16:38" ht="30" customHeight="1" x14ac:dyDescent="0.25"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</row>
    <row r="74" spans="16:38" ht="30" customHeight="1" x14ac:dyDescent="0.25"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</row>
    <row r="75" spans="16:38" ht="30" customHeight="1" x14ac:dyDescent="0.25"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</row>
    <row r="76" spans="16:38" ht="30" customHeight="1" x14ac:dyDescent="0.25"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</row>
    <row r="77" spans="16:38" ht="30" customHeight="1" x14ac:dyDescent="0.25"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</row>
    <row r="78" spans="16:38" ht="30" customHeight="1" x14ac:dyDescent="0.25"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</row>
    <row r="79" spans="16:38" ht="30" customHeight="1" x14ac:dyDescent="0.25"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</row>
    <row r="80" spans="16:38" ht="30" customHeight="1" x14ac:dyDescent="0.25"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</row>
    <row r="81" spans="16:38" ht="30" customHeight="1" x14ac:dyDescent="0.25"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</row>
    <row r="82" spans="16:38" ht="30" customHeight="1" x14ac:dyDescent="0.25"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</row>
    <row r="83" spans="16:38" ht="30" customHeight="1" x14ac:dyDescent="0.25"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</row>
    <row r="84" spans="16:38" ht="30" customHeight="1" x14ac:dyDescent="0.25"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</row>
    <row r="85" spans="16:38" ht="30" customHeight="1" x14ac:dyDescent="0.25"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</row>
    <row r="86" spans="16:38" ht="30" customHeight="1" x14ac:dyDescent="0.25"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</row>
    <row r="87" spans="16:38" ht="30" customHeight="1" x14ac:dyDescent="0.25"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</row>
    <row r="88" spans="16:38" ht="30" customHeight="1" x14ac:dyDescent="0.25"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</row>
    <row r="89" spans="16:38" ht="30" customHeight="1" x14ac:dyDescent="0.25"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</row>
    <row r="90" spans="16:38" ht="30" customHeight="1" x14ac:dyDescent="0.25"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</row>
    <row r="91" spans="16:38" ht="30" customHeight="1" x14ac:dyDescent="0.25"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</row>
    <row r="92" spans="16:38" ht="30" customHeight="1" x14ac:dyDescent="0.25"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</row>
    <row r="93" spans="16:38" ht="30" customHeight="1" x14ac:dyDescent="0.25"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</row>
    <row r="94" spans="16:38" ht="30" customHeight="1" x14ac:dyDescent="0.25"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</row>
    <row r="95" spans="16:38" ht="30" customHeight="1" x14ac:dyDescent="0.25"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</row>
    <row r="96" spans="16:38" ht="30" customHeight="1" x14ac:dyDescent="0.25"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</row>
    <row r="97" spans="16:38" ht="30" customHeight="1" x14ac:dyDescent="0.25"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</row>
    <row r="98" spans="16:38" ht="30" customHeight="1" x14ac:dyDescent="0.25"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</row>
  </sheetData>
  <sheetProtection algorithmName="SHA-512" hashValue="284JFQ9OWpYkhFXPE3sNEKKu9xrplbTEGz0cIBwHAUzRGDrRk8cSdMt+Gjua1Je3ckem5HcQp3hWhKgfhgsgvA==" saltValue="OEX6T8eCxpxwc46F1WI4hg==" spinCount="100000"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Group Box 1">
              <controlPr defaultSize="0" autoFill="0" autoPict="0">
                <anchor>
                  <from>
                    <xdr:col>4</xdr:col>
                    <xdr:colOff>190500</xdr:colOff>
                    <xdr:row>7</xdr:row>
                    <xdr:rowOff>57150</xdr:rowOff>
                  </from>
                  <to>
                    <xdr:col>35</xdr:col>
                    <xdr:colOff>9525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Option Button 2">
              <controlPr defaultSize="0" autoFill="0" autoLine="0" autoPict="0">
                <anchor>
                  <from>
                    <xdr:col>4</xdr:col>
                    <xdr:colOff>323850</xdr:colOff>
                    <xdr:row>7</xdr:row>
                    <xdr:rowOff>190500</xdr:rowOff>
                  </from>
                  <to>
                    <xdr:col>34</xdr:col>
                    <xdr:colOff>209550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Option Button 3">
              <controlPr defaultSize="0" autoFill="0" autoLine="0" autoPict="0" altText="мне в школе не очень нравится;">
                <anchor>
                  <from>
                    <xdr:col>4</xdr:col>
                    <xdr:colOff>323850</xdr:colOff>
                    <xdr:row>9</xdr:row>
                    <xdr:rowOff>266700</xdr:rowOff>
                  </from>
                  <to>
                    <xdr:col>34</xdr:col>
                    <xdr:colOff>152400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Option Button 4">
              <controlPr defaultSize="0" autoFill="0" autoLine="0" autoPict="0" altText="мне в школе не очень нравится;">
                <anchor>
                  <from>
                    <xdr:col>4</xdr:col>
                    <xdr:colOff>323850</xdr:colOff>
                    <xdr:row>11</xdr:row>
                    <xdr:rowOff>295275</xdr:rowOff>
                  </from>
                  <to>
                    <xdr:col>34</xdr:col>
                    <xdr:colOff>161925</xdr:colOff>
                    <xdr:row>12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A2:AL98"/>
  <sheetViews>
    <sheetView showGridLines="0" showRowColHeaders="0" workbookViewId="0">
      <selection activeCell="E2" sqref="E2:AI2"/>
    </sheetView>
  </sheetViews>
  <sheetFormatPr defaultColWidth="5.7109375" defaultRowHeight="30" customHeight="1" x14ac:dyDescent="0.25"/>
  <cols>
    <col min="1" max="16384" width="5.7109375" style="5"/>
  </cols>
  <sheetData>
    <row r="2" spans="1:38" ht="30" customHeight="1" x14ac:dyDescent="0.25">
      <c r="A2" s="19"/>
      <c r="C2" s="20"/>
    </row>
    <row r="3" spans="1:38" ht="30" customHeight="1" x14ac:dyDescent="0.3">
      <c r="B3" s="21"/>
      <c r="D3" s="22"/>
      <c r="H3" s="23"/>
      <c r="I3" s="23"/>
      <c r="J3" s="23"/>
      <c r="K3" s="23"/>
      <c r="L3" s="23"/>
      <c r="M3" s="24"/>
      <c r="N3" s="24"/>
      <c r="O3" s="24"/>
      <c r="Y3" s="4"/>
      <c r="Z3" s="10"/>
      <c r="AA3" s="10"/>
      <c r="AB3" s="30"/>
      <c r="AC3" s="30"/>
      <c r="AD3" s="10"/>
      <c r="AE3" s="10"/>
      <c r="AF3" s="4"/>
      <c r="AG3" s="4"/>
      <c r="AH3" s="4"/>
      <c r="AI3" s="4"/>
      <c r="AJ3" s="4"/>
      <c r="AK3" s="4"/>
      <c r="AL3" s="4"/>
    </row>
    <row r="4" spans="1:38" ht="30" customHeight="1" x14ac:dyDescent="0.25">
      <c r="Y4" s="4"/>
      <c r="AB4" s="10"/>
      <c r="AC4" s="10"/>
      <c r="AD4" s="10"/>
      <c r="AE4" s="10"/>
      <c r="AF4" s="4"/>
      <c r="AG4" s="4"/>
      <c r="AH4" s="4"/>
      <c r="AI4" s="4"/>
      <c r="AJ4" s="4"/>
      <c r="AK4" s="4"/>
      <c r="AL4" s="4"/>
    </row>
    <row r="5" spans="1:38" ht="30" customHeight="1" x14ac:dyDescent="0.25">
      <c r="C5" s="26"/>
      <c r="D5" s="27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9"/>
      <c r="W5" s="29"/>
      <c r="X5" s="29"/>
      <c r="Y5" s="4"/>
      <c r="Z5" s="10"/>
      <c r="AA5" s="14">
        <v>2</v>
      </c>
      <c r="AB5" s="10"/>
      <c r="AC5" s="10"/>
      <c r="AD5" s="10"/>
      <c r="AE5" s="10"/>
      <c r="AF5" s="4"/>
      <c r="AG5" s="4"/>
      <c r="AH5" s="4"/>
      <c r="AI5" s="4"/>
      <c r="AJ5" s="4"/>
      <c r="AK5" s="4"/>
      <c r="AL5" s="4"/>
    </row>
    <row r="6" spans="1:38" ht="30" customHeight="1" x14ac:dyDescent="0.25">
      <c r="M6" s="4"/>
      <c r="N6" s="4"/>
      <c r="O6" s="4"/>
      <c r="P6" s="4"/>
      <c r="Q6" s="4"/>
      <c r="R6" s="4"/>
      <c r="S6" s="4"/>
      <c r="T6" s="4"/>
      <c r="U6" s="4"/>
      <c r="V6" s="29"/>
      <c r="W6" s="29"/>
      <c r="X6" s="29"/>
      <c r="Y6" s="4"/>
      <c r="Z6" s="10"/>
      <c r="AA6" s="31"/>
      <c r="AB6" s="10"/>
      <c r="AC6" s="10"/>
      <c r="AD6" s="10"/>
      <c r="AE6" s="10"/>
      <c r="AF6" s="4"/>
      <c r="AG6" s="4"/>
      <c r="AH6" s="4"/>
      <c r="AI6" s="4"/>
      <c r="AJ6" s="4"/>
      <c r="AK6" s="4"/>
      <c r="AL6" s="4"/>
    </row>
    <row r="7" spans="1:38" ht="30" customHeight="1" x14ac:dyDescent="0.3">
      <c r="B7" s="17"/>
      <c r="C7" s="18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10"/>
      <c r="AA7" s="31"/>
      <c r="AB7" s="10"/>
      <c r="AC7" s="10"/>
      <c r="AD7" s="10"/>
      <c r="AE7" s="10"/>
      <c r="AF7" s="4"/>
      <c r="AG7" s="4"/>
      <c r="AH7" s="4"/>
      <c r="AI7" s="4"/>
      <c r="AJ7" s="4"/>
      <c r="AK7" s="4"/>
      <c r="AL7" s="4"/>
    </row>
    <row r="8" spans="1:38" ht="30" customHeight="1" x14ac:dyDescent="0.3">
      <c r="B8" s="17"/>
      <c r="C8" s="18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10"/>
      <c r="AA8" s="31"/>
      <c r="AB8" s="10"/>
      <c r="AC8" s="10"/>
      <c r="AD8" s="10"/>
      <c r="AE8" s="10"/>
      <c r="AF8" s="4"/>
      <c r="AG8" s="4"/>
      <c r="AH8" s="4"/>
      <c r="AI8" s="4"/>
      <c r="AJ8" s="4"/>
      <c r="AK8" s="4"/>
      <c r="AL8" s="4"/>
    </row>
    <row r="9" spans="1:38" ht="30" customHeight="1" x14ac:dyDescent="0.25"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10"/>
      <c r="AA9" s="31"/>
      <c r="AB9" s="10"/>
      <c r="AC9" s="10"/>
      <c r="AD9" s="10"/>
      <c r="AE9" s="10"/>
      <c r="AF9" s="4"/>
      <c r="AG9" s="4"/>
      <c r="AH9" s="4"/>
      <c r="AI9" s="4"/>
      <c r="AJ9" s="4"/>
      <c r="AK9" s="4"/>
      <c r="AL9" s="4"/>
    </row>
    <row r="10" spans="1:38" ht="30" customHeight="1" x14ac:dyDescent="0.25"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10"/>
      <c r="AA10" s="31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  <row r="11" spans="1:38" ht="30" customHeight="1" x14ac:dyDescent="0.25"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10"/>
      <c r="AA11" s="31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</row>
    <row r="12" spans="1:38" ht="30" customHeight="1" x14ac:dyDescent="0.25"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10"/>
      <c r="AA12" s="31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</row>
    <row r="13" spans="1:38" ht="30" customHeight="1" x14ac:dyDescent="0.25"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10"/>
      <c r="AA13" s="31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</row>
    <row r="14" spans="1:38" ht="30" customHeight="1" x14ac:dyDescent="0.25"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</row>
    <row r="15" spans="1:38" ht="30" customHeight="1" x14ac:dyDescent="0.25"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</row>
    <row r="16" spans="1:38" ht="30" customHeight="1" x14ac:dyDescent="0.25"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</row>
    <row r="17" spans="13:38" ht="30" customHeight="1" x14ac:dyDescent="0.25"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</row>
    <row r="18" spans="13:38" ht="30" customHeight="1" x14ac:dyDescent="0.25"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AF18" s="4"/>
      <c r="AG18" s="4"/>
      <c r="AH18" s="4"/>
      <c r="AI18" s="4"/>
      <c r="AJ18" s="4"/>
      <c r="AK18" s="4"/>
      <c r="AL18" s="4"/>
    </row>
    <row r="19" spans="13:38" ht="30" customHeight="1" x14ac:dyDescent="0.25"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AF19" s="4"/>
      <c r="AG19" s="4"/>
      <c r="AH19" s="4"/>
      <c r="AI19" s="4"/>
      <c r="AJ19" s="4"/>
      <c r="AK19" s="4"/>
      <c r="AL19" s="4"/>
    </row>
    <row r="20" spans="13:38" ht="30" customHeight="1" x14ac:dyDescent="0.25"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AF20" s="4"/>
      <c r="AG20" s="4"/>
      <c r="AH20" s="4"/>
      <c r="AI20" s="4"/>
      <c r="AJ20" s="4"/>
      <c r="AK20" s="4"/>
      <c r="AL20" s="4"/>
    </row>
    <row r="21" spans="13:38" ht="30" customHeight="1" x14ac:dyDescent="0.25"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AF21" s="4"/>
      <c r="AG21" s="4"/>
      <c r="AH21" s="4"/>
      <c r="AI21" s="4"/>
      <c r="AJ21" s="4"/>
      <c r="AK21" s="4"/>
      <c r="AL21" s="4"/>
    </row>
    <row r="22" spans="13:38" ht="30" customHeight="1" x14ac:dyDescent="0.25"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AF22" s="4"/>
      <c r="AG22" s="4"/>
      <c r="AH22" s="4"/>
      <c r="AI22" s="4"/>
      <c r="AJ22" s="4"/>
      <c r="AK22" s="4"/>
      <c r="AL22" s="4"/>
    </row>
    <row r="23" spans="13:38" ht="30" customHeight="1" x14ac:dyDescent="0.25"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AF23" s="4"/>
      <c r="AG23" s="4"/>
      <c r="AH23" s="4"/>
      <c r="AI23" s="4"/>
      <c r="AJ23" s="4"/>
      <c r="AK23" s="4"/>
      <c r="AL23" s="4"/>
    </row>
    <row r="24" spans="13:38" ht="30" customHeight="1" x14ac:dyDescent="0.25"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AF24" s="4"/>
      <c r="AG24" s="4"/>
      <c r="AH24" s="4"/>
      <c r="AI24" s="4"/>
      <c r="AJ24" s="4"/>
      <c r="AK24" s="4"/>
      <c r="AL24" s="4"/>
    </row>
    <row r="25" spans="13:38" ht="30" customHeight="1" x14ac:dyDescent="0.25"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AF25" s="4"/>
      <c r="AG25" s="4"/>
      <c r="AH25" s="4"/>
      <c r="AI25" s="4"/>
      <c r="AJ25" s="4"/>
      <c r="AK25" s="4"/>
      <c r="AL25" s="4"/>
    </row>
    <row r="26" spans="13:38" ht="30" customHeight="1" x14ac:dyDescent="0.25"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AF26" s="4"/>
      <c r="AG26" s="4"/>
      <c r="AH26" s="4"/>
      <c r="AI26" s="4"/>
      <c r="AJ26" s="4"/>
      <c r="AK26" s="4"/>
      <c r="AL26" s="4"/>
    </row>
    <row r="27" spans="13:38" ht="30" customHeight="1" x14ac:dyDescent="0.25">
      <c r="P27" s="4"/>
      <c r="Q27" s="4"/>
      <c r="R27" s="4"/>
      <c r="S27" s="4"/>
      <c r="T27" s="4"/>
      <c r="U27" s="4"/>
      <c r="V27" s="4"/>
      <c r="W27" s="4"/>
      <c r="X27" s="4"/>
      <c r="Y27" s="4"/>
      <c r="AF27" s="4"/>
      <c r="AG27" s="4"/>
      <c r="AH27" s="4"/>
      <c r="AI27" s="4"/>
      <c r="AJ27" s="4"/>
      <c r="AK27" s="4"/>
      <c r="AL27" s="4"/>
    </row>
    <row r="28" spans="13:38" ht="30" customHeight="1" x14ac:dyDescent="0.25">
      <c r="V28" s="4"/>
      <c r="W28" s="4"/>
      <c r="X28" s="4"/>
      <c r="Y28" s="4"/>
      <c r="AF28" s="4"/>
      <c r="AG28" s="4"/>
      <c r="AH28" s="4"/>
      <c r="AI28" s="4"/>
      <c r="AJ28" s="4"/>
      <c r="AK28" s="4"/>
      <c r="AL28" s="4"/>
    </row>
    <row r="29" spans="13:38" ht="30" customHeight="1" x14ac:dyDescent="0.25">
      <c r="V29" s="4"/>
      <c r="W29" s="4"/>
      <c r="X29" s="4"/>
      <c r="Y29" s="4"/>
      <c r="AF29" s="4"/>
      <c r="AG29" s="4"/>
      <c r="AH29" s="4"/>
      <c r="AI29" s="4"/>
      <c r="AJ29" s="4"/>
      <c r="AK29" s="4"/>
      <c r="AL29" s="4"/>
    </row>
    <row r="30" spans="13:38" ht="30" customHeight="1" x14ac:dyDescent="0.25">
      <c r="V30" s="4"/>
      <c r="W30" s="4"/>
      <c r="X30" s="4"/>
      <c r="Y30" s="4"/>
      <c r="AF30" s="4"/>
      <c r="AG30" s="4"/>
      <c r="AH30" s="4"/>
      <c r="AI30" s="4"/>
      <c r="AJ30" s="4"/>
      <c r="AK30" s="4"/>
      <c r="AL30" s="4"/>
    </row>
    <row r="31" spans="13:38" ht="30" customHeight="1" x14ac:dyDescent="0.25">
      <c r="P31" s="4"/>
      <c r="Q31" s="4"/>
      <c r="R31" s="4"/>
      <c r="S31" s="4"/>
      <c r="T31" s="4"/>
      <c r="U31" s="4"/>
      <c r="V31" s="4"/>
      <c r="W31" s="4"/>
      <c r="X31" s="4"/>
      <c r="Y31" s="4"/>
      <c r="AF31" s="4"/>
      <c r="AG31" s="4"/>
      <c r="AH31" s="4"/>
      <c r="AI31" s="4"/>
      <c r="AJ31" s="4"/>
      <c r="AK31" s="4"/>
      <c r="AL31" s="4"/>
    </row>
    <row r="32" spans="13:38" ht="30" customHeight="1" x14ac:dyDescent="0.25">
      <c r="V32" s="4"/>
      <c r="W32" s="4"/>
      <c r="X32" s="4"/>
      <c r="Y32" s="4"/>
      <c r="AF32" s="4"/>
      <c r="AG32" s="4"/>
      <c r="AH32" s="4"/>
      <c r="AI32" s="4"/>
      <c r="AJ32" s="4"/>
      <c r="AK32" s="4"/>
      <c r="AL32" s="4"/>
    </row>
    <row r="33" spans="22:38" ht="30" customHeight="1" x14ac:dyDescent="0.25">
      <c r="V33" s="4"/>
      <c r="W33" s="4"/>
      <c r="X33" s="4"/>
      <c r="Y33" s="4"/>
      <c r="AF33" s="4"/>
      <c r="AG33" s="4"/>
      <c r="AH33" s="4"/>
      <c r="AI33" s="4"/>
      <c r="AJ33" s="4"/>
      <c r="AK33" s="4"/>
      <c r="AL33" s="4"/>
    </row>
    <row r="34" spans="22:38" ht="30" customHeight="1" x14ac:dyDescent="0.25">
      <c r="V34" s="4"/>
      <c r="W34" s="4"/>
      <c r="X34" s="4"/>
      <c r="Y34" s="4"/>
      <c r="AF34" s="4"/>
      <c r="AG34" s="4"/>
      <c r="AH34" s="4"/>
      <c r="AI34" s="4"/>
      <c r="AJ34" s="4"/>
      <c r="AK34" s="4"/>
      <c r="AL34" s="4"/>
    </row>
    <row r="35" spans="22:38" ht="30" customHeight="1" x14ac:dyDescent="0.25">
      <c r="W35" s="4"/>
      <c r="X35" s="4"/>
      <c r="Y35" s="4"/>
      <c r="AF35" s="4"/>
      <c r="AG35" s="4"/>
      <c r="AH35" s="4"/>
      <c r="AI35" s="4"/>
      <c r="AJ35" s="4"/>
      <c r="AK35" s="4"/>
      <c r="AL35" s="4"/>
    </row>
    <row r="36" spans="22:38" ht="30" customHeight="1" x14ac:dyDescent="0.25">
      <c r="W36" s="4"/>
      <c r="X36" s="4"/>
      <c r="Y36" s="4"/>
      <c r="AF36" s="4"/>
      <c r="AG36" s="4"/>
      <c r="AH36" s="4"/>
      <c r="AI36" s="4"/>
      <c r="AJ36" s="4"/>
      <c r="AK36" s="4"/>
      <c r="AL36" s="4"/>
    </row>
    <row r="37" spans="22:38" ht="30" customHeight="1" x14ac:dyDescent="0.25">
      <c r="W37" s="4"/>
      <c r="X37" s="4"/>
      <c r="Y37" s="4"/>
      <c r="AF37" s="4"/>
      <c r="AG37" s="4"/>
      <c r="AH37" s="4"/>
      <c r="AI37" s="4"/>
      <c r="AJ37" s="4"/>
      <c r="AK37" s="4"/>
      <c r="AL37" s="4"/>
    </row>
    <row r="38" spans="22:38" ht="30" customHeight="1" x14ac:dyDescent="0.25"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</row>
    <row r="39" spans="22:38" ht="30" customHeight="1" x14ac:dyDescent="0.25"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</row>
    <row r="40" spans="22:38" ht="30" customHeight="1" x14ac:dyDescent="0.25"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</row>
    <row r="41" spans="22:38" ht="30" customHeight="1" x14ac:dyDescent="0.25"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</row>
    <row r="42" spans="22:38" ht="30" customHeight="1" x14ac:dyDescent="0.25"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</row>
    <row r="43" spans="22:38" ht="30" customHeight="1" x14ac:dyDescent="0.25"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</row>
    <row r="44" spans="22:38" ht="30" customHeight="1" x14ac:dyDescent="0.25"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</row>
    <row r="45" spans="22:38" ht="30" customHeight="1" x14ac:dyDescent="0.25"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</row>
    <row r="46" spans="22:38" ht="30" customHeight="1" x14ac:dyDescent="0.25"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</row>
    <row r="47" spans="22:38" ht="30" customHeight="1" x14ac:dyDescent="0.25"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</row>
    <row r="48" spans="22:38" ht="30" customHeight="1" x14ac:dyDescent="0.25"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</row>
    <row r="49" spans="16:38" ht="30" customHeight="1" x14ac:dyDescent="0.25"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</row>
    <row r="50" spans="16:38" ht="30" customHeight="1" x14ac:dyDescent="0.25"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</row>
    <row r="51" spans="16:38" ht="30" customHeight="1" x14ac:dyDescent="0.25"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</row>
    <row r="52" spans="16:38" ht="30" customHeight="1" x14ac:dyDescent="0.25"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</row>
    <row r="53" spans="16:38" ht="30" customHeight="1" x14ac:dyDescent="0.25"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</row>
    <row r="54" spans="16:38" ht="30" customHeight="1" x14ac:dyDescent="0.25"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</row>
    <row r="55" spans="16:38" ht="30" customHeight="1" x14ac:dyDescent="0.25"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</row>
    <row r="56" spans="16:38" ht="30" customHeight="1" x14ac:dyDescent="0.25"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</row>
    <row r="57" spans="16:38" ht="30" customHeight="1" x14ac:dyDescent="0.25"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</row>
    <row r="58" spans="16:38" ht="30" customHeight="1" x14ac:dyDescent="0.25"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</row>
    <row r="59" spans="16:38" ht="30" customHeight="1" x14ac:dyDescent="0.25"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</row>
    <row r="60" spans="16:38" ht="30" customHeight="1" x14ac:dyDescent="0.25"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</row>
    <row r="61" spans="16:38" ht="30" customHeight="1" x14ac:dyDescent="0.25"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</row>
    <row r="62" spans="16:38" ht="30" customHeight="1" x14ac:dyDescent="0.25"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</row>
    <row r="63" spans="16:38" ht="30" customHeight="1" x14ac:dyDescent="0.25"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</row>
    <row r="64" spans="16:38" ht="30" customHeight="1" x14ac:dyDescent="0.25"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</row>
    <row r="65" spans="16:38" ht="30" customHeight="1" x14ac:dyDescent="0.25"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</row>
    <row r="66" spans="16:38" ht="30" customHeight="1" x14ac:dyDescent="0.25"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</row>
    <row r="67" spans="16:38" ht="30" customHeight="1" x14ac:dyDescent="0.25"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</row>
    <row r="68" spans="16:38" ht="30" customHeight="1" x14ac:dyDescent="0.25"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</row>
    <row r="69" spans="16:38" ht="30" customHeight="1" x14ac:dyDescent="0.25"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</row>
    <row r="70" spans="16:38" ht="30" customHeight="1" x14ac:dyDescent="0.25"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</row>
    <row r="71" spans="16:38" ht="30" customHeight="1" x14ac:dyDescent="0.25"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</row>
    <row r="72" spans="16:38" ht="30" customHeight="1" x14ac:dyDescent="0.25"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</row>
    <row r="73" spans="16:38" ht="30" customHeight="1" x14ac:dyDescent="0.25"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</row>
    <row r="74" spans="16:38" ht="30" customHeight="1" x14ac:dyDescent="0.25"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</row>
    <row r="75" spans="16:38" ht="30" customHeight="1" x14ac:dyDescent="0.25"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</row>
    <row r="76" spans="16:38" ht="30" customHeight="1" x14ac:dyDescent="0.25"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</row>
    <row r="77" spans="16:38" ht="30" customHeight="1" x14ac:dyDescent="0.25"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</row>
    <row r="78" spans="16:38" ht="30" customHeight="1" x14ac:dyDescent="0.25"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</row>
    <row r="79" spans="16:38" ht="30" customHeight="1" x14ac:dyDescent="0.25"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</row>
    <row r="80" spans="16:38" ht="30" customHeight="1" x14ac:dyDescent="0.25"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</row>
    <row r="81" spans="16:38" ht="30" customHeight="1" x14ac:dyDescent="0.25"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</row>
    <row r="82" spans="16:38" ht="30" customHeight="1" x14ac:dyDescent="0.25"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</row>
    <row r="83" spans="16:38" ht="30" customHeight="1" x14ac:dyDescent="0.25"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</row>
    <row r="84" spans="16:38" ht="30" customHeight="1" x14ac:dyDescent="0.25"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</row>
    <row r="85" spans="16:38" ht="30" customHeight="1" x14ac:dyDescent="0.25"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</row>
    <row r="86" spans="16:38" ht="30" customHeight="1" x14ac:dyDescent="0.25"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</row>
    <row r="87" spans="16:38" ht="30" customHeight="1" x14ac:dyDescent="0.25"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</row>
    <row r="88" spans="16:38" ht="30" customHeight="1" x14ac:dyDescent="0.25"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</row>
    <row r="89" spans="16:38" ht="30" customHeight="1" x14ac:dyDescent="0.25"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</row>
    <row r="90" spans="16:38" ht="30" customHeight="1" x14ac:dyDescent="0.25"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</row>
    <row r="91" spans="16:38" ht="30" customHeight="1" x14ac:dyDescent="0.25"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</row>
    <row r="92" spans="16:38" ht="30" customHeight="1" x14ac:dyDescent="0.25"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</row>
    <row r="93" spans="16:38" ht="30" customHeight="1" x14ac:dyDescent="0.25"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</row>
    <row r="94" spans="16:38" ht="30" customHeight="1" x14ac:dyDescent="0.25"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</row>
    <row r="95" spans="16:38" ht="30" customHeight="1" x14ac:dyDescent="0.25"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</row>
    <row r="96" spans="16:38" ht="30" customHeight="1" x14ac:dyDescent="0.25"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</row>
    <row r="97" spans="16:38" ht="30" customHeight="1" x14ac:dyDescent="0.25"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</row>
    <row r="98" spans="16:38" ht="30" customHeight="1" x14ac:dyDescent="0.25"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</row>
  </sheetData>
  <sheetProtection password="CF7A"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Group Box 1">
              <controlPr defaultSize="0" autoFill="0" autoPict="0">
                <anchor>
                  <from>
                    <xdr:col>4</xdr:col>
                    <xdr:colOff>190500</xdr:colOff>
                    <xdr:row>7</xdr:row>
                    <xdr:rowOff>57150</xdr:rowOff>
                  </from>
                  <to>
                    <xdr:col>35</xdr:col>
                    <xdr:colOff>9525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Option Button 2">
              <controlPr defaultSize="0" autoFill="0" autoLine="0" autoPict="0">
                <anchor>
                  <from>
                    <xdr:col>4</xdr:col>
                    <xdr:colOff>323850</xdr:colOff>
                    <xdr:row>7</xdr:row>
                    <xdr:rowOff>190500</xdr:rowOff>
                  </from>
                  <to>
                    <xdr:col>34</xdr:col>
                    <xdr:colOff>209550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Option Button 3">
              <controlPr defaultSize="0" autoFill="0" autoLine="0" autoPict="0" altText="мне в школе не очень нравится;">
                <anchor>
                  <from>
                    <xdr:col>4</xdr:col>
                    <xdr:colOff>323850</xdr:colOff>
                    <xdr:row>9</xdr:row>
                    <xdr:rowOff>266700</xdr:rowOff>
                  </from>
                  <to>
                    <xdr:col>34</xdr:col>
                    <xdr:colOff>152400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Option Button 4">
              <controlPr defaultSize="0" autoFill="0" autoLine="0" autoPict="0" altText="мне в школе не очень нравится;">
                <anchor>
                  <from>
                    <xdr:col>4</xdr:col>
                    <xdr:colOff>323850</xdr:colOff>
                    <xdr:row>11</xdr:row>
                    <xdr:rowOff>295275</xdr:rowOff>
                  </from>
                  <to>
                    <xdr:col>34</xdr:col>
                    <xdr:colOff>161925</xdr:colOff>
                    <xdr:row>12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2:AL98"/>
  <sheetViews>
    <sheetView showGridLines="0" showRowColHeaders="0" zoomScaleNormal="100" workbookViewId="0">
      <selection activeCell="E2" sqref="E2:AI2"/>
    </sheetView>
  </sheetViews>
  <sheetFormatPr defaultColWidth="5.7109375" defaultRowHeight="30" customHeight="1" x14ac:dyDescent="0.25"/>
  <cols>
    <col min="1" max="16384" width="5.7109375" style="5"/>
  </cols>
  <sheetData>
    <row r="2" spans="1:38" ht="30" customHeight="1" x14ac:dyDescent="0.25">
      <c r="A2" s="19"/>
      <c r="C2" s="20"/>
    </row>
    <row r="3" spans="1:38" ht="30" customHeight="1" x14ac:dyDescent="0.3">
      <c r="B3" s="21"/>
      <c r="D3" s="22"/>
      <c r="H3" s="23"/>
      <c r="I3" s="23"/>
      <c r="J3" s="23"/>
      <c r="K3" s="23"/>
      <c r="L3" s="23"/>
      <c r="M3" s="24"/>
      <c r="N3" s="24"/>
      <c r="O3" s="24"/>
      <c r="Y3" s="4"/>
      <c r="Z3" s="10"/>
      <c r="AA3" s="10"/>
      <c r="AB3" s="30"/>
      <c r="AC3" s="30"/>
      <c r="AD3" s="10"/>
      <c r="AE3" s="10"/>
      <c r="AF3" s="4"/>
      <c r="AG3" s="4"/>
      <c r="AH3" s="4"/>
      <c r="AI3" s="4"/>
      <c r="AJ3" s="4"/>
      <c r="AK3" s="4"/>
      <c r="AL3" s="4"/>
    </row>
    <row r="4" spans="1:38" ht="30" customHeight="1" x14ac:dyDescent="0.25">
      <c r="Y4" s="4"/>
      <c r="AB4" s="10"/>
      <c r="AC4" s="10"/>
      <c r="AD4" s="10"/>
      <c r="AE4" s="10"/>
      <c r="AF4" s="4"/>
      <c r="AG4" s="4"/>
      <c r="AH4" s="4"/>
      <c r="AI4" s="4"/>
      <c r="AJ4" s="4"/>
      <c r="AK4" s="4"/>
      <c r="AL4" s="4"/>
    </row>
    <row r="5" spans="1:38" ht="30" customHeight="1" x14ac:dyDescent="0.25">
      <c r="C5" s="26"/>
      <c r="D5" s="27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9"/>
      <c r="W5" s="29"/>
      <c r="X5" s="29"/>
      <c r="Y5" s="4"/>
      <c r="Z5" s="10"/>
      <c r="AA5" s="50">
        <v>2</v>
      </c>
      <c r="AB5" s="10"/>
      <c r="AC5" s="10"/>
      <c r="AD5" s="10"/>
      <c r="AE5" s="10"/>
      <c r="AF5" s="4"/>
      <c r="AG5" s="4"/>
      <c r="AH5" s="4"/>
      <c r="AI5" s="4"/>
      <c r="AJ5" s="4"/>
      <c r="AK5" s="4"/>
      <c r="AL5" s="4"/>
    </row>
    <row r="6" spans="1:38" ht="30" customHeight="1" x14ac:dyDescent="0.25">
      <c r="M6" s="4"/>
      <c r="N6" s="4"/>
      <c r="O6" s="4"/>
      <c r="P6" s="4"/>
      <c r="Q6" s="4"/>
      <c r="R6" s="4"/>
      <c r="S6" s="4"/>
      <c r="T6" s="4"/>
      <c r="U6" s="4"/>
      <c r="V6" s="29"/>
      <c r="W6" s="29"/>
      <c r="X6" s="29"/>
      <c r="Y6" s="4"/>
      <c r="Z6" s="10"/>
      <c r="AA6" s="31"/>
      <c r="AB6" s="10"/>
      <c r="AC6" s="10"/>
      <c r="AD6" s="10"/>
      <c r="AE6" s="10"/>
      <c r="AF6" s="4"/>
      <c r="AG6" s="4"/>
      <c r="AH6" s="4"/>
      <c r="AI6" s="4"/>
      <c r="AJ6" s="4"/>
      <c r="AK6" s="4"/>
      <c r="AL6" s="4"/>
    </row>
    <row r="7" spans="1:38" ht="30" customHeight="1" x14ac:dyDescent="0.3">
      <c r="B7" s="17"/>
      <c r="C7" s="18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10"/>
      <c r="AA7" s="31"/>
      <c r="AB7" s="10"/>
      <c r="AC7" s="10"/>
      <c r="AD7" s="10"/>
      <c r="AE7" s="10"/>
      <c r="AF7" s="4"/>
      <c r="AG7" s="4"/>
      <c r="AH7" s="4"/>
      <c r="AI7" s="4"/>
      <c r="AJ7" s="4"/>
      <c r="AK7" s="4"/>
      <c r="AL7" s="4"/>
    </row>
    <row r="8" spans="1:38" ht="30" customHeight="1" x14ac:dyDescent="0.3">
      <c r="B8" s="17"/>
      <c r="C8" s="18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10"/>
      <c r="AA8" s="31"/>
      <c r="AB8" s="10"/>
      <c r="AC8" s="10"/>
      <c r="AD8" s="10"/>
      <c r="AE8" s="10"/>
      <c r="AF8" s="4"/>
      <c r="AG8" s="4"/>
      <c r="AH8" s="4"/>
      <c r="AI8" s="4"/>
      <c r="AJ8" s="4"/>
      <c r="AK8" s="4"/>
      <c r="AL8" s="4"/>
    </row>
    <row r="9" spans="1:38" ht="30" customHeight="1" x14ac:dyDescent="0.25"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10"/>
      <c r="AA9" s="31"/>
      <c r="AB9" s="10"/>
      <c r="AC9" s="10"/>
      <c r="AD9" s="10"/>
      <c r="AE9" s="10"/>
      <c r="AF9" s="4"/>
      <c r="AG9" s="4"/>
      <c r="AH9" s="4"/>
      <c r="AI9" s="4"/>
      <c r="AJ9" s="4"/>
      <c r="AK9" s="4"/>
      <c r="AL9" s="4"/>
    </row>
    <row r="10" spans="1:38" ht="30" customHeight="1" x14ac:dyDescent="0.25"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10"/>
      <c r="AA10" s="31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  <row r="11" spans="1:38" ht="30" customHeight="1" x14ac:dyDescent="0.25"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10"/>
      <c r="AA11" s="31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</row>
    <row r="12" spans="1:38" ht="30" customHeight="1" x14ac:dyDescent="0.25"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10"/>
      <c r="AA12" s="31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</row>
    <row r="13" spans="1:38" ht="30" customHeight="1" x14ac:dyDescent="0.25"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10"/>
      <c r="AA13" s="31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</row>
    <row r="14" spans="1:38" ht="30" customHeight="1" x14ac:dyDescent="0.25"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</row>
    <row r="15" spans="1:38" ht="30" customHeight="1" x14ac:dyDescent="0.25"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</row>
    <row r="16" spans="1:38" ht="30" customHeight="1" x14ac:dyDescent="0.25"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</row>
    <row r="17" spans="13:38" ht="30" customHeight="1" x14ac:dyDescent="0.25"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</row>
    <row r="18" spans="13:38" ht="30" customHeight="1" x14ac:dyDescent="0.25"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AF18" s="4"/>
      <c r="AG18" s="4"/>
      <c r="AH18" s="4"/>
      <c r="AI18" s="4"/>
      <c r="AJ18" s="4"/>
      <c r="AK18" s="4"/>
      <c r="AL18" s="4"/>
    </row>
    <row r="19" spans="13:38" ht="30" customHeight="1" x14ac:dyDescent="0.25"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AF19" s="4"/>
      <c r="AG19" s="4"/>
      <c r="AH19" s="4"/>
      <c r="AI19" s="4"/>
      <c r="AJ19" s="4"/>
      <c r="AK19" s="4"/>
      <c r="AL19" s="4"/>
    </row>
    <row r="20" spans="13:38" ht="30" customHeight="1" x14ac:dyDescent="0.25"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AF20" s="4"/>
      <c r="AG20" s="4"/>
      <c r="AH20" s="4"/>
      <c r="AI20" s="4"/>
      <c r="AJ20" s="4"/>
      <c r="AK20" s="4"/>
      <c r="AL20" s="4"/>
    </row>
    <row r="21" spans="13:38" ht="30" customHeight="1" x14ac:dyDescent="0.25"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AF21" s="4"/>
      <c r="AG21" s="4"/>
      <c r="AH21" s="4"/>
      <c r="AI21" s="4"/>
      <c r="AJ21" s="4"/>
      <c r="AK21" s="4"/>
      <c r="AL21" s="4"/>
    </row>
    <row r="22" spans="13:38" ht="30" customHeight="1" x14ac:dyDescent="0.25"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AF22" s="4"/>
      <c r="AG22" s="4"/>
      <c r="AH22" s="4"/>
      <c r="AI22" s="4"/>
      <c r="AJ22" s="4"/>
      <c r="AK22" s="4"/>
      <c r="AL22" s="4"/>
    </row>
    <row r="23" spans="13:38" ht="30" customHeight="1" x14ac:dyDescent="0.25"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AF23" s="4"/>
      <c r="AG23" s="4"/>
      <c r="AH23" s="4"/>
      <c r="AI23" s="4"/>
      <c r="AJ23" s="4"/>
      <c r="AK23" s="4"/>
      <c r="AL23" s="4"/>
    </row>
    <row r="24" spans="13:38" ht="30" customHeight="1" x14ac:dyDescent="0.25"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AF24" s="4"/>
      <c r="AG24" s="4"/>
      <c r="AH24" s="4"/>
      <c r="AI24" s="4"/>
      <c r="AJ24" s="4"/>
      <c r="AK24" s="4"/>
      <c r="AL24" s="4"/>
    </row>
    <row r="25" spans="13:38" ht="30" customHeight="1" x14ac:dyDescent="0.25"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AF25" s="4"/>
      <c r="AG25" s="4"/>
      <c r="AH25" s="4"/>
      <c r="AI25" s="4"/>
      <c r="AJ25" s="4"/>
      <c r="AK25" s="4"/>
      <c r="AL25" s="4"/>
    </row>
    <row r="26" spans="13:38" ht="30" customHeight="1" x14ac:dyDescent="0.25"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AF26" s="4"/>
      <c r="AG26" s="4"/>
      <c r="AH26" s="4"/>
      <c r="AI26" s="4"/>
      <c r="AJ26" s="4"/>
      <c r="AK26" s="4"/>
      <c r="AL26" s="4"/>
    </row>
    <row r="27" spans="13:38" ht="30" customHeight="1" x14ac:dyDescent="0.25">
      <c r="P27" s="4"/>
      <c r="Q27" s="4"/>
      <c r="R27" s="4"/>
      <c r="S27" s="4"/>
      <c r="T27" s="4"/>
      <c r="U27" s="4"/>
      <c r="V27" s="4"/>
      <c r="W27" s="4"/>
      <c r="X27" s="4"/>
      <c r="Y27" s="4"/>
      <c r="AF27" s="4"/>
      <c r="AG27" s="4"/>
      <c r="AH27" s="4"/>
      <c r="AI27" s="4"/>
      <c r="AJ27" s="4"/>
      <c r="AK27" s="4"/>
      <c r="AL27" s="4"/>
    </row>
    <row r="28" spans="13:38" ht="30" customHeight="1" x14ac:dyDescent="0.25">
      <c r="V28" s="4"/>
      <c r="W28" s="4"/>
      <c r="X28" s="4"/>
      <c r="Y28" s="4"/>
      <c r="AF28" s="4"/>
      <c r="AG28" s="4"/>
      <c r="AH28" s="4"/>
      <c r="AI28" s="4"/>
      <c r="AJ28" s="4"/>
      <c r="AK28" s="4"/>
      <c r="AL28" s="4"/>
    </row>
    <row r="29" spans="13:38" ht="30" customHeight="1" x14ac:dyDescent="0.25">
      <c r="V29" s="4"/>
      <c r="W29" s="4"/>
      <c r="X29" s="4"/>
      <c r="Y29" s="4"/>
      <c r="AF29" s="4"/>
      <c r="AG29" s="4"/>
      <c r="AH29" s="4"/>
      <c r="AI29" s="4"/>
      <c r="AJ29" s="4"/>
      <c r="AK29" s="4"/>
      <c r="AL29" s="4"/>
    </row>
    <row r="30" spans="13:38" ht="30" customHeight="1" x14ac:dyDescent="0.25">
      <c r="V30" s="4"/>
      <c r="W30" s="4"/>
      <c r="X30" s="4"/>
      <c r="Y30" s="4"/>
      <c r="AF30" s="4"/>
      <c r="AG30" s="4"/>
      <c r="AH30" s="4"/>
      <c r="AI30" s="4"/>
      <c r="AJ30" s="4"/>
      <c r="AK30" s="4"/>
      <c r="AL30" s="4"/>
    </row>
    <row r="31" spans="13:38" ht="30" customHeight="1" x14ac:dyDescent="0.25">
      <c r="P31" s="4"/>
      <c r="Q31" s="4"/>
      <c r="R31" s="4"/>
      <c r="S31" s="4"/>
      <c r="T31" s="4"/>
      <c r="U31" s="4"/>
      <c r="V31" s="4"/>
      <c r="W31" s="4"/>
      <c r="X31" s="4"/>
      <c r="Y31" s="4"/>
      <c r="AF31" s="4"/>
      <c r="AG31" s="4"/>
      <c r="AH31" s="4"/>
      <c r="AI31" s="4"/>
      <c r="AJ31" s="4"/>
      <c r="AK31" s="4"/>
      <c r="AL31" s="4"/>
    </row>
    <row r="32" spans="13:38" ht="30" customHeight="1" x14ac:dyDescent="0.25">
      <c r="V32" s="4"/>
      <c r="W32" s="4"/>
      <c r="X32" s="4"/>
      <c r="Y32" s="4"/>
      <c r="AF32" s="4"/>
      <c r="AG32" s="4"/>
      <c r="AH32" s="4"/>
      <c r="AI32" s="4"/>
      <c r="AJ32" s="4"/>
      <c r="AK32" s="4"/>
      <c r="AL32" s="4"/>
    </row>
    <row r="33" spans="22:38" ht="30" customHeight="1" x14ac:dyDescent="0.25">
      <c r="V33" s="4"/>
      <c r="W33" s="4"/>
      <c r="X33" s="4"/>
      <c r="Y33" s="4"/>
      <c r="AF33" s="4"/>
      <c r="AG33" s="4"/>
      <c r="AH33" s="4"/>
      <c r="AI33" s="4"/>
      <c r="AJ33" s="4"/>
      <c r="AK33" s="4"/>
      <c r="AL33" s="4"/>
    </row>
    <row r="34" spans="22:38" ht="30" customHeight="1" x14ac:dyDescent="0.25">
      <c r="V34" s="4"/>
      <c r="W34" s="4"/>
      <c r="X34" s="4"/>
      <c r="Y34" s="4"/>
      <c r="AF34" s="4"/>
      <c r="AG34" s="4"/>
      <c r="AH34" s="4"/>
      <c r="AI34" s="4"/>
      <c r="AJ34" s="4"/>
      <c r="AK34" s="4"/>
      <c r="AL34" s="4"/>
    </row>
    <row r="35" spans="22:38" ht="30" customHeight="1" x14ac:dyDescent="0.25">
      <c r="W35" s="4"/>
      <c r="X35" s="4"/>
      <c r="Y35" s="4"/>
      <c r="AF35" s="4"/>
      <c r="AG35" s="4"/>
      <c r="AH35" s="4"/>
      <c r="AI35" s="4"/>
      <c r="AJ35" s="4"/>
      <c r="AK35" s="4"/>
      <c r="AL35" s="4"/>
    </row>
    <row r="36" spans="22:38" ht="30" customHeight="1" x14ac:dyDescent="0.25">
      <c r="W36" s="4"/>
      <c r="X36" s="4"/>
      <c r="Y36" s="4"/>
      <c r="AF36" s="4"/>
      <c r="AG36" s="4"/>
      <c r="AH36" s="4"/>
      <c r="AI36" s="4"/>
      <c r="AJ36" s="4"/>
      <c r="AK36" s="4"/>
      <c r="AL36" s="4"/>
    </row>
    <row r="37" spans="22:38" ht="30" customHeight="1" x14ac:dyDescent="0.25">
      <c r="W37" s="4"/>
      <c r="X37" s="4"/>
      <c r="Y37" s="4"/>
      <c r="AF37" s="4"/>
      <c r="AG37" s="4"/>
      <c r="AH37" s="4"/>
      <c r="AI37" s="4"/>
      <c r="AJ37" s="4"/>
      <c r="AK37" s="4"/>
      <c r="AL37" s="4"/>
    </row>
    <row r="38" spans="22:38" ht="30" customHeight="1" x14ac:dyDescent="0.25"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</row>
    <row r="39" spans="22:38" ht="30" customHeight="1" x14ac:dyDescent="0.25"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</row>
    <row r="40" spans="22:38" ht="30" customHeight="1" x14ac:dyDescent="0.25"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</row>
    <row r="41" spans="22:38" ht="30" customHeight="1" x14ac:dyDescent="0.25"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</row>
    <row r="42" spans="22:38" ht="30" customHeight="1" x14ac:dyDescent="0.25"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</row>
    <row r="43" spans="22:38" ht="30" customHeight="1" x14ac:dyDescent="0.25"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</row>
    <row r="44" spans="22:38" ht="30" customHeight="1" x14ac:dyDescent="0.25"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</row>
    <row r="45" spans="22:38" ht="30" customHeight="1" x14ac:dyDescent="0.25"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</row>
    <row r="46" spans="22:38" ht="30" customHeight="1" x14ac:dyDescent="0.25"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</row>
    <row r="47" spans="22:38" ht="30" customHeight="1" x14ac:dyDescent="0.25"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</row>
    <row r="48" spans="22:38" ht="30" customHeight="1" x14ac:dyDescent="0.25"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</row>
    <row r="49" spans="16:38" ht="30" customHeight="1" x14ac:dyDescent="0.25"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</row>
    <row r="50" spans="16:38" ht="30" customHeight="1" x14ac:dyDescent="0.25"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</row>
    <row r="51" spans="16:38" ht="30" customHeight="1" x14ac:dyDescent="0.25"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</row>
    <row r="52" spans="16:38" ht="30" customHeight="1" x14ac:dyDescent="0.25"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</row>
    <row r="53" spans="16:38" ht="30" customHeight="1" x14ac:dyDescent="0.25"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</row>
    <row r="54" spans="16:38" ht="30" customHeight="1" x14ac:dyDescent="0.25"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</row>
    <row r="55" spans="16:38" ht="30" customHeight="1" x14ac:dyDescent="0.25"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</row>
    <row r="56" spans="16:38" ht="30" customHeight="1" x14ac:dyDescent="0.25"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</row>
    <row r="57" spans="16:38" ht="30" customHeight="1" x14ac:dyDescent="0.25"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</row>
    <row r="58" spans="16:38" ht="30" customHeight="1" x14ac:dyDescent="0.25"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</row>
    <row r="59" spans="16:38" ht="30" customHeight="1" x14ac:dyDescent="0.25"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</row>
    <row r="60" spans="16:38" ht="30" customHeight="1" x14ac:dyDescent="0.25"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</row>
    <row r="61" spans="16:38" ht="30" customHeight="1" x14ac:dyDescent="0.25"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</row>
    <row r="62" spans="16:38" ht="30" customHeight="1" x14ac:dyDescent="0.25"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</row>
    <row r="63" spans="16:38" ht="30" customHeight="1" x14ac:dyDescent="0.25"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</row>
    <row r="64" spans="16:38" ht="30" customHeight="1" x14ac:dyDescent="0.25"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</row>
    <row r="65" spans="16:38" ht="30" customHeight="1" x14ac:dyDescent="0.25"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</row>
    <row r="66" spans="16:38" ht="30" customHeight="1" x14ac:dyDescent="0.25"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</row>
    <row r="67" spans="16:38" ht="30" customHeight="1" x14ac:dyDescent="0.25"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</row>
    <row r="68" spans="16:38" ht="30" customHeight="1" x14ac:dyDescent="0.25"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</row>
    <row r="69" spans="16:38" ht="30" customHeight="1" x14ac:dyDescent="0.25"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</row>
    <row r="70" spans="16:38" ht="30" customHeight="1" x14ac:dyDescent="0.25"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</row>
    <row r="71" spans="16:38" ht="30" customHeight="1" x14ac:dyDescent="0.25"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</row>
    <row r="72" spans="16:38" ht="30" customHeight="1" x14ac:dyDescent="0.25"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</row>
    <row r="73" spans="16:38" ht="30" customHeight="1" x14ac:dyDescent="0.25"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</row>
    <row r="74" spans="16:38" ht="30" customHeight="1" x14ac:dyDescent="0.25"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</row>
    <row r="75" spans="16:38" ht="30" customHeight="1" x14ac:dyDescent="0.25"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</row>
    <row r="76" spans="16:38" ht="30" customHeight="1" x14ac:dyDescent="0.25"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</row>
    <row r="77" spans="16:38" ht="30" customHeight="1" x14ac:dyDescent="0.25"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</row>
    <row r="78" spans="16:38" ht="30" customHeight="1" x14ac:dyDescent="0.25"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</row>
    <row r="79" spans="16:38" ht="30" customHeight="1" x14ac:dyDescent="0.25"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</row>
    <row r="80" spans="16:38" ht="30" customHeight="1" x14ac:dyDescent="0.25"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</row>
    <row r="81" spans="16:38" ht="30" customHeight="1" x14ac:dyDescent="0.25"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</row>
    <row r="82" spans="16:38" ht="30" customHeight="1" x14ac:dyDescent="0.25"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</row>
    <row r="83" spans="16:38" ht="30" customHeight="1" x14ac:dyDescent="0.25"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</row>
    <row r="84" spans="16:38" ht="30" customHeight="1" x14ac:dyDescent="0.25"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</row>
    <row r="85" spans="16:38" ht="30" customHeight="1" x14ac:dyDescent="0.25"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</row>
    <row r="86" spans="16:38" ht="30" customHeight="1" x14ac:dyDescent="0.25"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</row>
    <row r="87" spans="16:38" ht="30" customHeight="1" x14ac:dyDescent="0.25"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</row>
    <row r="88" spans="16:38" ht="30" customHeight="1" x14ac:dyDescent="0.25"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</row>
    <row r="89" spans="16:38" ht="30" customHeight="1" x14ac:dyDescent="0.25"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</row>
    <row r="90" spans="16:38" ht="30" customHeight="1" x14ac:dyDescent="0.25"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</row>
    <row r="91" spans="16:38" ht="30" customHeight="1" x14ac:dyDescent="0.25"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</row>
    <row r="92" spans="16:38" ht="30" customHeight="1" x14ac:dyDescent="0.25"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</row>
    <row r="93" spans="16:38" ht="30" customHeight="1" x14ac:dyDescent="0.25"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</row>
    <row r="94" spans="16:38" ht="30" customHeight="1" x14ac:dyDescent="0.25"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</row>
    <row r="95" spans="16:38" ht="30" customHeight="1" x14ac:dyDescent="0.25"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</row>
    <row r="96" spans="16:38" ht="30" customHeight="1" x14ac:dyDescent="0.25"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</row>
    <row r="97" spans="16:38" ht="30" customHeight="1" x14ac:dyDescent="0.25"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</row>
    <row r="98" spans="16:38" ht="30" customHeight="1" x14ac:dyDescent="0.25"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</row>
  </sheetData>
  <sheetProtection algorithmName="SHA-512" hashValue="ZP1KWObj3MhoON9YhrcDjMsghl493mh/JRWH70K5kohY9dNc+3M2FpwFgr693TbnK9RKiMhlFoZWm7DTGPhnCw==" saltValue="F8TQYsO77v5zdA9fidSzoQ==" spinCount="100000"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Group Box 1">
              <controlPr defaultSize="0" autoFill="0" autoPict="0">
                <anchor>
                  <from>
                    <xdr:col>4</xdr:col>
                    <xdr:colOff>180975</xdr:colOff>
                    <xdr:row>7</xdr:row>
                    <xdr:rowOff>57150</xdr:rowOff>
                  </from>
                  <to>
                    <xdr:col>35</xdr:col>
                    <xdr:colOff>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Option Button 2">
              <controlPr defaultSize="0" autoFill="0" autoLine="0" autoPict="0">
                <anchor>
                  <from>
                    <xdr:col>4</xdr:col>
                    <xdr:colOff>314325</xdr:colOff>
                    <xdr:row>7</xdr:row>
                    <xdr:rowOff>190500</xdr:rowOff>
                  </from>
                  <to>
                    <xdr:col>34</xdr:col>
                    <xdr:colOff>200025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Option Button 3">
              <controlPr defaultSize="0" autoFill="0" autoLine="0" autoPict="0" altText="мне в школе не очень нравится;">
                <anchor>
                  <from>
                    <xdr:col>4</xdr:col>
                    <xdr:colOff>314325</xdr:colOff>
                    <xdr:row>9</xdr:row>
                    <xdr:rowOff>266700</xdr:rowOff>
                  </from>
                  <to>
                    <xdr:col>34</xdr:col>
                    <xdr:colOff>142875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Option Button 4">
              <controlPr defaultSize="0" autoFill="0" autoLine="0" autoPict="0" altText="мне в школе не очень нравится;">
                <anchor>
                  <from>
                    <xdr:col>4</xdr:col>
                    <xdr:colOff>314325</xdr:colOff>
                    <xdr:row>11</xdr:row>
                    <xdr:rowOff>295275</xdr:rowOff>
                  </from>
                  <to>
                    <xdr:col>34</xdr:col>
                    <xdr:colOff>152400</xdr:colOff>
                    <xdr:row>12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R29"/>
  <sheetViews>
    <sheetView workbookViewId="0">
      <selection activeCell="D17" sqref="D17"/>
    </sheetView>
  </sheetViews>
  <sheetFormatPr defaultRowHeight="15" x14ac:dyDescent="0.25"/>
  <cols>
    <col min="11" max="11" width="55.5703125" customWidth="1"/>
  </cols>
  <sheetData>
    <row r="1" spans="1:18" x14ac:dyDescent="0.25">
      <c r="A1" t="str">
        <f>IF('1'!$AA$5=1,"1 - 1",IF('1'!$AA$5=2,"1 - 2","1 - 3"))</f>
        <v>1 - 2</v>
      </c>
      <c r="I1" t="str">
        <f>CONCATENATE(A1,", ")</f>
        <v xml:space="preserve">1 - 2, </v>
      </c>
    </row>
    <row r="2" spans="1:18" x14ac:dyDescent="0.25">
      <c r="A2" t="str">
        <f>IF('2'!$AA$5=1,"2 - 1",IF('2'!$AA$5=2,"2 - 2","2 - 3"))</f>
        <v>2 - 2</v>
      </c>
      <c r="I2" t="str">
        <f t="shared" ref="I2:I9" si="0">CONCATENATE(A2,", ")</f>
        <v xml:space="preserve">2 - 2, </v>
      </c>
    </row>
    <row r="3" spans="1:18" x14ac:dyDescent="0.25">
      <c r="A3" t="str">
        <f>IF('3'!$AA$5=1,"3 - 1",IF('3'!$AA$5=2,"3 - 2","3 - 3"))</f>
        <v>3 - 2</v>
      </c>
      <c r="I3" t="str">
        <f t="shared" si="0"/>
        <v xml:space="preserve">3 - 2, </v>
      </c>
    </row>
    <row r="4" spans="1:18" x14ac:dyDescent="0.25">
      <c r="A4" t="str">
        <f>IF('4'!$AA$5=1,"4 - 1",IF('4'!$AA$5=2,"4 - 2","4 - 3"))</f>
        <v>4 - 2</v>
      </c>
      <c r="I4" t="str">
        <f t="shared" si="0"/>
        <v xml:space="preserve">4 - 2, </v>
      </c>
    </row>
    <row r="5" spans="1:18" x14ac:dyDescent="0.25">
      <c r="A5" t="str">
        <f>IF('5'!$AA$5=1,"5 - 1",IF('5'!$AA$5=2,"5 - 2","5 - 3"))</f>
        <v>5 - 2</v>
      </c>
      <c r="C5" s="51">
        <f>'1'!$AA$5</f>
        <v>2</v>
      </c>
      <c r="D5" s="51">
        <f>IF('1'!$AA$5=1,3,IF('1'!$AA$5=2,1,0))</f>
        <v>1</v>
      </c>
      <c r="E5" s="51"/>
      <c r="F5" s="51"/>
      <c r="G5" s="51"/>
      <c r="H5" s="51"/>
      <c r="I5" t="str">
        <f t="shared" si="0"/>
        <v xml:space="preserve">5 - 2, </v>
      </c>
    </row>
    <row r="6" spans="1:18" x14ac:dyDescent="0.25">
      <c r="A6" t="str">
        <f>IF('6'!$AA$5=1,"6 - 1",IF('6'!$AA$5=2,"6 - 2","6 - 3"))</f>
        <v>6 - 2</v>
      </c>
      <c r="C6" s="51">
        <f>'2'!$AA$5</f>
        <v>2</v>
      </c>
      <c r="D6" s="51">
        <f>IF('2'!$AA$5=1,3,IF('2'!$AA$5=2,1,0))</f>
        <v>1</v>
      </c>
      <c r="E6" s="51"/>
      <c r="F6" s="51"/>
      <c r="G6" s="51"/>
      <c r="H6" s="51"/>
      <c r="I6" t="str">
        <f t="shared" si="0"/>
        <v xml:space="preserve">6 - 2, </v>
      </c>
    </row>
    <row r="7" spans="1:18" x14ac:dyDescent="0.25">
      <c r="A7" t="str">
        <f>IF('7'!$AA$5=1,"7 - 1",IF('7'!$AA$5=2,"7 - 2","7 - 3"))</f>
        <v>7 - 2</v>
      </c>
      <c r="C7" s="51">
        <f>'3'!$AA$5</f>
        <v>2</v>
      </c>
      <c r="D7" s="51">
        <f>IF('3'!$AA$5=1,3,IF('3'!$AA$5=2,1,0))</f>
        <v>1</v>
      </c>
      <c r="E7" s="51"/>
      <c r="F7" s="51"/>
      <c r="G7" s="51"/>
      <c r="H7" s="51"/>
      <c r="I7" t="str">
        <f t="shared" si="0"/>
        <v xml:space="preserve">7 - 2, </v>
      </c>
    </row>
    <row r="8" spans="1:18" x14ac:dyDescent="0.25">
      <c r="A8" t="str">
        <f>IF('8'!$AA$5=1,"8 - 1",IF('8'!$AA$5=2,"8 - 2","8 - 3"))</f>
        <v>8 - 2</v>
      </c>
      <c r="C8" s="51">
        <f>'4'!$AA$5</f>
        <v>2</v>
      </c>
      <c r="D8" s="51">
        <f>IF('4'!$AA$5=1,3,IF('4'!$AA$5=2,1,0))</f>
        <v>1</v>
      </c>
      <c r="E8" s="51"/>
      <c r="F8" s="51"/>
      <c r="G8" s="51"/>
      <c r="H8" s="51"/>
      <c r="I8" t="str">
        <f t="shared" si="0"/>
        <v xml:space="preserve">8 - 2, </v>
      </c>
    </row>
    <row r="9" spans="1:18" x14ac:dyDescent="0.25">
      <c r="A9" t="str">
        <f>IF('9'!$AA$5=1,"9 - 1",IF('9'!$AA$5=2,"9 - 2","9 - 3"))</f>
        <v>9 - 2</v>
      </c>
      <c r="C9" s="51">
        <f>'5'!$AA$5</f>
        <v>2</v>
      </c>
      <c r="D9" s="51">
        <f>IF('5'!$AA$5=1,3,IF('5'!$AA$5=2,1,0))</f>
        <v>1</v>
      </c>
      <c r="E9" s="51"/>
      <c r="F9" s="51"/>
      <c r="G9" s="51"/>
      <c r="H9" s="51"/>
      <c r="I9" t="str">
        <f t="shared" si="0"/>
        <v xml:space="preserve">9 - 2, </v>
      </c>
    </row>
    <row r="10" spans="1:18" x14ac:dyDescent="0.25">
      <c r="A10" t="str">
        <f>IF('10'!$AA$5=1,"10 - 1",IF('10'!$AA$5=2,"10 - 2","10 - 3"))</f>
        <v>10 - 2</v>
      </c>
      <c r="C10" s="51">
        <f>'6'!$AA$5</f>
        <v>2</v>
      </c>
      <c r="D10" s="51">
        <f>IF('6'!$AA$5=1,3,IF('6'!$AA$5=2,1,0))</f>
        <v>1</v>
      </c>
      <c r="E10" s="51"/>
      <c r="F10" s="51"/>
      <c r="G10" s="51"/>
      <c r="H10" s="51"/>
      <c r="I10" t="str">
        <f>CONCATENATE(A10,".")</f>
        <v>10 - 2.</v>
      </c>
    </row>
    <row r="11" spans="1:18" x14ac:dyDescent="0.25">
      <c r="C11" s="51">
        <f>'7'!$AA$5</f>
        <v>2</v>
      </c>
      <c r="D11" s="51">
        <f>IF('7'!$AA$5=1,3,IF('7'!$AA$5=2,1,0))</f>
        <v>1</v>
      </c>
      <c r="E11" s="51"/>
      <c r="F11" s="51"/>
      <c r="G11" s="51"/>
      <c r="H11" s="51"/>
      <c r="K11" t="s">
        <v>4</v>
      </c>
    </row>
    <row r="12" spans="1:18" x14ac:dyDescent="0.25">
      <c r="C12" s="51">
        <f>'8'!$AA$5</f>
        <v>2</v>
      </c>
      <c r="D12" s="51">
        <f>IF('8'!$AA$5=1,3,IF('8'!$AA$5=2,1,0))</f>
        <v>1</v>
      </c>
      <c r="E12" s="51"/>
      <c r="F12" s="51"/>
      <c r="G12" s="51"/>
      <c r="H12" s="51"/>
      <c r="J12" t="s">
        <v>5</v>
      </c>
      <c r="K12">
        <v>31</v>
      </c>
    </row>
    <row r="13" spans="1:18" x14ac:dyDescent="0.25">
      <c r="C13" s="51">
        <f>'9'!$AA$5</f>
        <v>2</v>
      </c>
      <c r="D13" s="51">
        <f>IF('9'!$AA$5=1,3,IF('9'!$AA$5=2,1,0))</f>
        <v>1</v>
      </c>
      <c r="E13" s="51"/>
      <c r="F13" s="51"/>
      <c r="G13" s="51"/>
      <c r="H13" s="51"/>
      <c r="J13" t="s">
        <v>6</v>
      </c>
      <c r="K13">
        <f>D17</f>
        <v>2</v>
      </c>
      <c r="R13" s="1"/>
    </row>
    <row r="14" spans="1:18" x14ac:dyDescent="0.25">
      <c r="C14" s="51">
        <f>'10'!$AA$5</f>
        <v>2</v>
      </c>
      <c r="D14" s="51">
        <f>IF('10'!$AA$5=1,3,IF('10'!$AA$5=2,1,0))</f>
        <v>1</v>
      </c>
      <c r="E14" s="51"/>
      <c r="F14" s="51"/>
      <c r="G14" s="51"/>
      <c r="H14" s="51"/>
      <c r="J14" t="s">
        <v>7</v>
      </c>
      <c r="K14" t="str">
        <f>CONCATENATE(I1,I2,I3,I4,I5,I6,I7,I8,I9,I10)</f>
        <v>1 - 2, 2 - 2, 3 - 2, 4 - 2, 5 - 2, 6 - 2, 7 - 2, 8 - 2, 9 - 2, 10 - 2.</v>
      </c>
      <c r="R14" s="1"/>
    </row>
    <row r="15" spans="1:18" x14ac:dyDescent="0.25">
      <c r="C15" s="51" t="s">
        <v>8</v>
      </c>
      <c r="D15" s="51">
        <f>SUM(D5:D14)</f>
        <v>10</v>
      </c>
      <c r="E15" s="51"/>
      <c r="F15" s="51"/>
      <c r="G15" s="51"/>
      <c r="H15" s="51"/>
      <c r="J15" t="s">
        <v>9</v>
      </c>
      <c r="K15" t="str">
        <f>CONCATENATE(F20,F21,F22,F23,F24)</f>
        <v xml:space="preserve">Эмоциональное отношение к школе: психологическая защита; Перегрузка: отсутствует; Изоляция ребенка: частичная; Положение в группе: нормальное; Скрытое неблагополучие в отношении к школе: нет; </v>
      </c>
      <c r="R15" s="1"/>
    </row>
    <row r="16" spans="1:18" x14ac:dyDescent="0.25">
      <c r="C16" s="51"/>
      <c r="D16" s="51"/>
      <c r="E16" s="51"/>
      <c r="F16" s="51"/>
      <c r="G16" s="51"/>
      <c r="H16" s="51"/>
      <c r="R16" s="1"/>
    </row>
    <row r="17" spans="1:18" x14ac:dyDescent="0.25">
      <c r="A17" s="52" t="s">
        <v>10</v>
      </c>
      <c r="B17" s="51"/>
      <c r="C17" s="51"/>
      <c r="D17" s="51">
        <f>IF(D15&lt;10,1,IF(D15&lt;15,2,IF(D15&lt;20,3,IF(D15&lt;25,4,5))))</f>
        <v>2</v>
      </c>
      <c r="G17" s="51"/>
      <c r="H17" s="51"/>
      <c r="R17" s="1"/>
    </row>
    <row r="18" spans="1:18" x14ac:dyDescent="0.25">
      <c r="A18" s="51"/>
      <c r="B18" s="51"/>
      <c r="C18" s="51"/>
      <c r="D18" s="51"/>
      <c r="G18" s="51"/>
      <c r="H18" s="51"/>
      <c r="R18" s="1"/>
    </row>
    <row r="19" spans="1:18" x14ac:dyDescent="0.25">
      <c r="A19" s="52" t="s">
        <v>11</v>
      </c>
      <c r="B19" s="51"/>
      <c r="C19" s="51"/>
      <c r="D19" s="51"/>
      <c r="G19" s="51"/>
      <c r="H19" s="51"/>
      <c r="R19" s="1"/>
    </row>
    <row r="20" spans="1:18" x14ac:dyDescent="0.25">
      <c r="A20" s="51" t="s">
        <v>12</v>
      </c>
      <c r="B20" s="51"/>
      <c r="C20" s="51"/>
      <c r="D20" s="51" t="str">
        <f>IF(AND(D5=1,D6=1,D7=1,D8=1),"психологическая защита",IF(AND(D5=0,D6=0,D7=0,D8=0),"высокая тревожность","нормальное"))</f>
        <v>психологическая защита</v>
      </c>
      <c r="F20" t="str">
        <f>CONCATENATE(A20,": ",D20,"; ")</f>
        <v xml:space="preserve">Эмоциональное отношение к школе: психологическая защита; </v>
      </c>
      <c r="R20" s="1"/>
    </row>
    <row r="21" spans="1:18" x14ac:dyDescent="0.25">
      <c r="A21" s="51" t="s">
        <v>13</v>
      </c>
      <c r="B21" s="51"/>
      <c r="C21" s="51"/>
      <c r="D21" s="51" t="str">
        <f>IF(D9=0,"есть","отсутствует")</f>
        <v>отсутствует</v>
      </c>
      <c r="F21" t="str">
        <f>CONCATENATE(A21,": ",D21,"; ")</f>
        <v xml:space="preserve">Перегрузка: отсутствует; </v>
      </c>
      <c r="R21" s="1"/>
    </row>
    <row r="22" spans="1:18" x14ac:dyDescent="0.25">
      <c r="A22" s="51" t="s">
        <v>14</v>
      </c>
      <c r="B22" s="51"/>
      <c r="C22" s="51"/>
      <c r="D22" s="51" t="str">
        <f>IF(AND(D13=0,D14=0),"полная",IF(OR(D13&lt;3,D14&lt;10),"частичная","не наблюдается"))</f>
        <v>частичная</v>
      </c>
      <c r="F22" t="str">
        <f>CONCATENATE(A22,": ",D22,"; ")</f>
        <v xml:space="preserve">Изоляция ребенка: частичная; </v>
      </c>
    </row>
    <row r="23" spans="1:18" x14ac:dyDescent="0.25">
      <c r="A23" s="51" t="s">
        <v>15</v>
      </c>
      <c r="B23" s="51"/>
      <c r="C23" s="51"/>
      <c r="D23" s="51" t="str">
        <f>IF(AND(D13=0,D14=3),"стремится к общению, но отвергается",IF(AND(D13=3,D14=0),"имеет много контактов, но не удовлетворен коллективом","нормальное"))</f>
        <v>нормальное</v>
      </c>
      <c r="F23" t="str">
        <f>CONCATENATE(A23,": ",D23,"; ")</f>
        <v xml:space="preserve">Положение в группе: нормальное; </v>
      </c>
    </row>
    <row r="24" spans="1:18" x14ac:dyDescent="0.25">
      <c r="A24" s="51" t="s">
        <v>16</v>
      </c>
      <c r="B24" s="51"/>
      <c r="C24" s="51"/>
      <c r="D24" s="51" t="str">
        <f>IF(AND(D6=0,D7=3,OR(D11&lt;3),D5=3,D8=3,D9=3,D10=3,D12=3,D13=3,D14=3),"есть","нет")</f>
        <v>нет</v>
      </c>
      <c r="F24" t="str">
        <f>CONCATENATE(A24,": ",D24,"; ")</f>
        <v xml:space="preserve">Скрытое неблагополучие в отношении к школе: нет; </v>
      </c>
      <c r="G24" s="51"/>
    </row>
    <row r="28" spans="1:18" ht="18.75" x14ac:dyDescent="0.25">
      <c r="A28" s="12" t="s">
        <v>2</v>
      </c>
    </row>
    <row r="29" spans="1:18" ht="18.75" x14ac:dyDescent="0.25">
      <c r="A29" s="53" t="s">
        <v>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X_Title_Sheet"/>
  <dimension ref="B1:B7"/>
  <sheetViews>
    <sheetView showGridLines="0" showRowColHeaders="0" tabSelected="1" workbookViewId="0">
      <selection activeCell="H16" sqref="H16"/>
    </sheetView>
  </sheetViews>
  <sheetFormatPr defaultRowHeight="15" x14ac:dyDescent="0.25"/>
  <cols>
    <col min="1" max="1" width="38.140625" customWidth="1"/>
  </cols>
  <sheetData>
    <row r="1" spans="2:2" ht="92.25" customHeight="1" x14ac:dyDescent="0.25"/>
    <row r="2" spans="2:2" x14ac:dyDescent="0.25">
      <c r="B2" t="s">
        <v>1</v>
      </c>
    </row>
    <row r="7" spans="2:2" x14ac:dyDescent="0.25">
      <c r="B7" t="s">
        <v>0</v>
      </c>
    </row>
  </sheetData>
  <sheetProtection algorithmName="SHA-512" hashValue="aA2P6Djn7abpEQwiUfnDJkXqlMSWzbbeiQNvRz+4MSgskkXCyu1r5py4FwfOSxH4QeU69TjuDfkgJSAHJqmsuw==" saltValue="S1FfTft1nnnUdqF6YZ9RTg==" spinCount="100000" sheet="1" objects="1" scenarios="1" selectLockedCells="1" selectUnlockedCell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Group_List">
          <controlPr defaultSize="0" autoLine="0" autoPict="0" r:id="rId5">
            <anchor moveWithCells="1">
              <from>
                <xdr:col>1</xdr:col>
                <xdr:colOff>9525</xdr:colOff>
                <xdr:row>3</xdr:row>
                <xdr:rowOff>9525</xdr:rowOff>
              </from>
              <to>
                <xdr:col>7</xdr:col>
                <xdr:colOff>9525</xdr:colOff>
                <xdr:row>4</xdr:row>
                <xdr:rowOff>66675</xdr:rowOff>
              </to>
            </anchor>
          </controlPr>
        </control>
      </mc:Choice>
      <mc:Fallback>
        <control shapeId="1027" r:id="rId4" name="Group_List"/>
      </mc:Fallback>
    </mc:AlternateContent>
    <mc:AlternateContent xmlns:mc="http://schemas.openxmlformats.org/markup-compatibility/2006">
      <mc:Choice Requires="x14">
        <control shapeId="1026" r:id="rId6" name="Pupil_List">
          <controlPr defaultSize="0" autoLine="0" r:id="rId7">
            <anchor moveWithCells="1">
              <from>
                <xdr:col>1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57150</xdr:rowOff>
              </to>
            </anchor>
          </controlPr>
        </control>
      </mc:Choice>
      <mc:Fallback>
        <control shapeId="1026" r:id="rId6" name="Pupil_List"/>
      </mc:Fallback>
    </mc:AlternateContent>
    <mc:AlternateContent xmlns:mc="http://schemas.openxmlformats.org/markup-compatibility/2006">
      <mc:Choice Requires="x14">
        <control shapeId="1031" r:id="rId8" name="Button 7">
          <controlPr defaultSize="0" print="0" autoFill="0" autoPict="0" macro="[0]!ThisWorkbook.Start_Test">
            <anchor moveWithCells="1" sizeWithCells="1">
              <from>
                <xdr:col>1</xdr:col>
                <xdr:colOff>9525</xdr:colOff>
                <xdr:row>11</xdr:row>
                <xdr:rowOff>0</xdr:rowOff>
              </from>
              <to>
                <xdr:col>6</xdr:col>
                <xdr:colOff>600075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9" name="Button 8">
          <controlPr defaultSize="0" print="0" autoFill="0" autoPict="0" macro="[0]!ThisWorkbook.Exit_Module">
            <anchor moveWithCells="1" sizeWithCells="1">
              <from>
                <xdr:col>1</xdr:col>
                <xdr:colOff>19050</xdr:colOff>
                <xdr:row>15</xdr:row>
                <xdr:rowOff>0</xdr:rowOff>
              </from>
              <to>
                <xdr:col>7</xdr:col>
                <xdr:colOff>0</xdr:colOff>
                <xdr:row>17</xdr:row>
                <xdr:rowOff>0</xdr:rowOff>
              </to>
            </anchor>
          </controlPr>
        </control>
      </mc:Choice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X_Metrics_Sheet"/>
  <dimension ref="A1:C7"/>
  <sheetViews>
    <sheetView workbookViewId="0">
      <selection activeCell="B8" sqref="B8"/>
    </sheetView>
  </sheetViews>
  <sheetFormatPr defaultRowHeight="15" x14ac:dyDescent="0.25"/>
  <cols>
    <col min="1" max="1" width="20.5703125" customWidth="1"/>
    <col min="2" max="2" width="24.140625" customWidth="1"/>
    <col min="3" max="3" width="21.5703125" customWidth="1"/>
    <col min="4" max="4" width="52.28515625" customWidth="1"/>
    <col min="5" max="5" width="17.85546875" customWidth="1"/>
  </cols>
  <sheetData>
    <row r="1" spans="1:3" x14ac:dyDescent="0.25">
      <c r="A1" s="1" t="str">
        <f>Расчеты!K11</f>
        <v>Лускановой</v>
      </c>
      <c r="B1" s="1"/>
      <c r="C1" s="1"/>
    </row>
    <row r="2" spans="1:3" x14ac:dyDescent="0.25">
      <c r="A2" s="1">
        <f>Расчеты!K12</f>
        <v>31</v>
      </c>
      <c r="B2" s="1"/>
      <c r="C2" s="1"/>
    </row>
    <row r="3" spans="1:3" x14ac:dyDescent="0.25">
      <c r="A3" s="1">
        <f>Расчеты!K13</f>
        <v>2</v>
      </c>
      <c r="B3" s="1"/>
      <c r="C3" s="1"/>
    </row>
    <row r="4" spans="1:3" x14ac:dyDescent="0.25">
      <c r="A4" s="1" t="str">
        <f>Расчеты!K14</f>
        <v>1 - 2, 2 - 2, 3 - 2, 4 - 2, 5 - 2, 6 - 2, 7 - 2, 8 - 2, 9 - 2, 10 - 2.</v>
      </c>
      <c r="B4" s="1"/>
      <c r="C4" s="1"/>
    </row>
    <row r="5" spans="1:3" x14ac:dyDescent="0.25">
      <c r="A5" s="1" t="str">
        <f>Расчеты!K15</f>
        <v xml:space="preserve">Эмоциональное отношение к школе: психологическая защита; Перегрузка: отсутствует; Изоляция ребенка: частичная; Положение в группе: нормальное; Скрытое неблагополучие в отношении к школе: нет; </v>
      </c>
      <c r="B5" s="1"/>
      <c r="C5" s="1"/>
    </row>
    <row r="6" spans="1:3" x14ac:dyDescent="0.25">
      <c r="A6" s="1"/>
      <c r="B6" s="1"/>
      <c r="C6" s="1"/>
    </row>
    <row r="7" spans="1:3" x14ac:dyDescent="0.25">
      <c r="A7" s="1"/>
      <c r="B7" s="1"/>
      <c r="C7" s="1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1" r:id="rId4" name="CommandButton1">
          <controlPr defaultSize="0" autoLine="0" r:id="rId5">
            <anchor moveWithCells="1">
              <from>
                <xdr:col>3</xdr:col>
                <xdr:colOff>57150</xdr:colOff>
                <xdr:row>14</xdr:row>
                <xdr:rowOff>152400</xdr:rowOff>
              </from>
              <to>
                <xdr:col>3</xdr:col>
                <xdr:colOff>2990850</xdr:colOff>
                <xdr:row>19</xdr:row>
                <xdr:rowOff>161925</xdr:rowOff>
              </to>
            </anchor>
          </controlPr>
        </control>
      </mc:Choice>
      <mc:Fallback>
        <control shapeId="7171" r:id="rId4" name="CommandButton1"/>
      </mc:Fallback>
    </mc:AlternateContent>
    <mc:AlternateContent xmlns:mc="http://schemas.openxmlformats.org/markup-compatibility/2006">
      <mc:Choice Requires="x14">
        <control shapeId="7169" r:id="rId6" name="TestRanges">
          <controlPr defaultSize="0" autoLine="0" r:id="rId7">
            <anchor moveWithCells="1">
              <from>
                <xdr:col>0</xdr:col>
                <xdr:colOff>1066800</xdr:colOff>
                <xdr:row>14</xdr:row>
                <xdr:rowOff>123825</xdr:rowOff>
              </from>
              <to>
                <xdr:col>2</xdr:col>
                <xdr:colOff>1019175</xdr:colOff>
                <xdr:row>19</xdr:row>
                <xdr:rowOff>133350</xdr:rowOff>
              </to>
            </anchor>
          </controlPr>
        </control>
      </mc:Choice>
      <mc:Fallback>
        <control shapeId="7169" r:id="rId6" name="TestRanges"/>
      </mc:Fallback>
    </mc:AlternateContent>
    <mc:AlternateContent xmlns:mc="http://schemas.openxmlformats.org/markup-compatibility/2006">
      <mc:Choice Requires="x14">
        <control shapeId="7170" r:id="rId8" name="Button 2">
          <controlPr defaultSize="0" print="0" autoFill="0" autoPict="0" macro="[0]!ThisWorkbook.Complete_Test">
            <anchor moveWithCells="1" sizeWithCells="1">
              <from>
                <xdr:col>3</xdr:col>
                <xdr:colOff>1047750</xdr:colOff>
                <xdr:row>8</xdr:row>
                <xdr:rowOff>171450</xdr:rowOff>
              </from>
              <to>
                <xdr:col>4</xdr:col>
                <xdr:colOff>609600</xdr:colOff>
                <xdr:row>10</xdr:row>
                <xdr:rowOff>180975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Расчеты</vt:lpstr>
      <vt:lpstr>Титульная страница</vt:lpstr>
      <vt:lpstr>Итоговые метрики</vt:lpstr>
    </vt:vector>
  </TitlesOfParts>
  <Company>rg-adguard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2018-06-05T10:50:44Z</dcterms:created>
  <dcterms:modified xsi:type="dcterms:W3CDTF">2018-06-07T01:53:59Z</dcterms:modified>
</cp:coreProperties>
</file>