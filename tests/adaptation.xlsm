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72.xml" ContentType="application/vnd.ms-excel.controlproperties+xml"/>
  <Override PartName="/xl/ctrlProps/ctrlProp73.xml" ContentType="application/vnd.ms-excel.controlpropertie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7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Projects\vladumur\finalized tests\"/>
    </mc:Choice>
  </mc:AlternateContent>
  <bookViews>
    <workbookView xWindow="0" yWindow="0" windowWidth="24705" windowHeight="12255" activeTab="2"/>
  </bookViews>
  <sheets>
    <sheet name="Наблюдение" sheetId="4" r:id="rId1"/>
    <sheet name="Результаты" sheetId="5" r:id="rId2"/>
    <sheet name="Титульная страница" sheetId="1" r:id="rId3"/>
    <sheet name="Итоговые метрики" sheetId="3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" i="3" l="1"/>
  <c r="D2" i="5"/>
  <c r="E2" i="5" s="1"/>
  <c r="O8" i="5"/>
  <c r="N8" i="5"/>
  <c r="M8" i="5"/>
  <c r="L8" i="5"/>
  <c r="G3" i="3" s="1"/>
  <c r="K8" i="5"/>
  <c r="J8" i="5"/>
  <c r="I8" i="5"/>
  <c r="H8" i="5"/>
  <c r="F8" i="5"/>
  <c r="F3" i="3"/>
  <c r="A3" i="3"/>
  <c r="M1" i="3"/>
  <c r="N1" i="3"/>
  <c r="M2" i="3"/>
  <c r="N2" i="3"/>
  <c r="F1" i="3"/>
  <c r="G1" i="3"/>
  <c r="H1" i="3"/>
  <c r="I1" i="3"/>
  <c r="J1" i="3"/>
  <c r="K1" i="3"/>
  <c r="L1" i="3"/>
  <c r="F2" i="3"/>
  <c r="G2" i="3"/>
  <c r="H2" i="3"/>
  <c r="I2" i="3"/>
  <c r="J2" i="3"/>
  <c r="K2" i="3"/>
  <c r="L2" i="3"/>
  <c r="H3" i="3"/>
  <c r="I3" i="3"/>
  <c r="J3" i="3"/>
  <c r="B1" i="3"/>
  <c r="C1" i="3"/>
  <c r="D1" i="3"/>
  <c r="E1" i="3"/>
  <c r="B2" i="3"/>
  <c r="C2" i="3"/>
  <c r="D2" i="3"/>
  <c r="E2" i="3"/>
  <c r="C3" i="3"/>
  <c r="D3" i="3"/>
  <c r="E3" i="3"/>
  <c r="A2" i="3"/>
  <c r="A1" i="3"/>
  <c r="C11" i="5"/>
  <c r="B11" i="5"/>
  <c r="C10" i="5"/>
  <c r="B10" i="5"/>
  <c r="C9" i="5"/>
  <c r="B9" i="5"/>
  <c r="R8" i="5"/>
  <c r="M3" i="3" s="1"/>
  <c r="C8" i="5"/>
  <c r="B8" i="5"/>
  <c r="C7" i="5"/>
  <c r="B7" i="5"/>
  <c r="C6" i="5"/>
  <c r="B6" i="5"/>
  <c r="C5" i="5"/>
  <c r="B5" i="5"/>
  <c r="C4" i="5"/>
  <c r="B4" i="5"/>
  <c r="C3" i="5"/>
  <c r="G8" i="5" s="1"/>
  <c r="B3" i="3" s="1"/>
  <c r="B3" i="5"/>
  <c r="C2" i="5"/>
  <c r="B2" i="5"/>
  <c r="Q8" i="5" l="1"/>
  <c r="L3" i="3" s="1"/>
  <c r="P8" i="5"/>
  <c r="K3" i="3" s="1"/>
  <c r="S8" i="5" l="1"/>
  <c r="N3" i="3" s="1"/>
</calcChain>
</file>

<file path=xl/sharedStrings.xml><?xml version="1.0" encoding="utf-8"?>
<sst xmlns="http://schemas.openxmlformats.org/spreadsheetml/2006/main" count="124" uniqueCount="112">
  <si>
    <t>Выбор ученика</t>
  </si>
  <si>
    <t>Выбор группы</t>
  </si>
  <si>
    <r>
      <t xml:space="preserve">Схема наблюдения за адаптацией </t>
    </r>
    <r>
      <rPr>
        <b/>
        <sz val="12"/>
        <color theme="1"/>
        <rFont val="Times New Roman"/>
        <family val="1"/>
        <charset val="204"/>
      </rPr>
      <t xml:space="preserve">и эффективностью учебной деятельности </t>
    </r>
    <r>
      <rPr>
        <b/>
        <sz val="12"/>
        <color rgb="FF000000"/>
        <rFont val="Times New Roman"/>
        <family val="1"/>
        <charset val="204"/>
      </rPr>
      <t>учащихся</t>
    </r>
  </si>
  <si>
    <t>№</t>
  </si>
  <si>
    <t>Критерии</t>
  </si>
  <si>
    <t>Баллы</t>
  </si>
  <si>
    <t>Поведенческие индикаторы сформированности критерия</t>
  </si>
  <si>
    <t>1.</t>
  </si>
  <si>
    <t>Критерии эффективности учебной деятельности</t>
  </si>
  <si>
    <t>1.1.</t>
  </si>
  <si>
    <t>Учебная активность</t>
  </si>
  <si>
    <t>активность отсутствует;</t>
  </si>
  <si>
    <t>пассивен на уроке, часто дает неправильные ответы или не отвечает совсем, переписывает готовое с доски</t>
  </si>
  <si>
    <t>активность кратковременная, часто отвлекается, не слушает</t>
  </si>
  <si>
    <t>редко поднимает руку, но отвечает преимущественно верно;</t>
  </si>
  <si>
    <t>стремится отвечать, работает со всем классом, чередуются правильные и неправильные ответы</t>
  </si>
  <si>
    <t>активно работает на всех уроках, часто поднимает руку, отвечает преимущественно верно, стремится отвечать.</t>
  </si>
  <si>
    <t>1.2.</t>
  </si>
  <si>
    <t>Целеполагание</t>
  </si>
  <si>
    <t>плохо различает учебные задачи разного типа, отсутствует реакция на новизну задачи, нуждается в постоянном контроле со стороны учителя, не может ответить на вопросы о том, что сделала или собирается сделать</t>
  </si>
  <si>
    <t>осознает, что надо делать в процессе решения практической задачи, в теоретических задачах не ориентируется;</t>
  </si>
  <si>
    <t>принимает и выполняет только практические задачи, в отношении теоретических задач не может осуществлять целенаправленные действия</t>
  </si>
  <si>
    <t>охотно осуществляет решение познавательной задачи, регулирует процесс выполнения, четко может дать отчет о своих действиях после принятого решения</t>
  </si>
  <si>
    <t>столкнувшись с новой практической задачей, самостоятельно формулирует познавательную цель и строит деятельность в соответствии с ней</t>
  </si>
  <si>
    <t>самостоятельно формулирует познавательные цели, выходя за пределы требований программы, выдвигает содержательные гипотезы</t>
  </si>
  <si>
    <t>1.3.</t>
  </si>
  <si>
    <t>Самоконтроль</t>
  </si>
  <si>
    <t>не умеет обнаружить и исправить ошибку даже по просьбе учителя, некритично относится к исправленным ошибкам в своих работах и не замечает ошибок других воспитанниц</t>
  </si>
  <si>
    <t>контроль носит случайный непроизвольный характер, заметив ошибку, не может обосновать своих действий</t>
  </si>
  <si>
    <t>осознает правила контроля, но одновременно выполнять учебные действия и контролировать их не может, после выполнения может найти и исправить ошибки;</t>
  </si>
  <si>
    <t>ошибки в многократно повторенных действиях исправляет самостоятельно, контролирует выполнение учебных действий другими, но при решении новой задачи теряется</t>
  </si>
  <si>
    <t>задачи, соответствующие усвоенному способу контроля выполняются безошибочно, с помощью учителя может обнаружить неадекватность способа новой задаче и внести коррективы</t>
  </si>
  <si>
    <t>контролирует соответствие выполняемых действий способу, при изменении условий вносит коррективы до начала решения.</t>
  </si>
  <si>
    <t>1.4.</t>
  </si>
  <si>
    <t>Усвоение знаний, успеваемость</t>
  </si>
  <si>
    <t>плохое усвоение материала по всем темам и предметам, большое количество грубых ошибок</t>
  </si>
  <si>
    <t>частые ошибки, неаккуратное выполнение учебных заданий</t>
  </si>
  <si>
    <t xml:space="preserve">  плохое усвоение материала по отдельным темам и предметам</t>
  </si>
  <si>
    <t>редкие ошибки, чаще связанные с невнимательностью, успеваемость на оценки «3» и «4»;</t>
  </si>
  <si>
    <t>единичные ошибки, усвоение знаний на «хорошо»;</t>
  </si>
  <si>
    <t>правильное и безошибочное выполнение практически всех учебных заданий.</t>
  </si>
  <si>
    <t xml:space="preserve">2. </t>
  </si>
  <si>
    <t>Усвоение нравственно-этических норм и школьных норм поведения</t>
  </si>
  <si>
    <t>2.1.</t>
  </si>
  <si>
    <t>Нравственно-этическая готовность</t>
  </si>
  <si>
    <t>не умеет выделять моральное содержание ситуации (нарушение/следование моральной норме);</t>
  </si>
  <si>
    <t>ориентируется на моральную норму (справедливое распределение, правдивость, взаимопомощь);</t>
  </si>
  <si>
    <t>понимает, что нарушение моральных норм оценивается как серьезное и недопустимое;</t>
  </si>
  <si>
    <t>учитывает при принятии решения объективные последствия нарушения моральной нормы</t>
  </si>
  <si>
    <t xml:space="preserve"> адекватно оценивает свои действия и действия других с точки зрения нарушения/соблюдения моральной нормы</t>
  </si>
  <si>
    <t xml:space="preserve">  умеет аргументировать необходимость выполнения моральной нормы.</t>
  </si>
  <si>
    <t>2.2.</t>
  </si>
  <si>
    <t>Поведение на уроке</t>
  </si>
  <si>
    <t>не выполняет элементарных требований, большую часть урока занимается посторонним делом, играет;</t>
  </si>
  <si>
    <t>часто отвлекается на посторонние предметы, вертится, постоянно отвлекается;</t>
  </si>
  <si>
    <t>на уроке скована, напряжена или часто отвлекается;</t>
  </si>
  <si>
    <t>иногда поворачивается, обменивается мнениями с товарищами, но отвлекается редко;</t>
  </si>
  <si>
    <t>выполняет требования учителя, но иногда отвлекается;</t>
  </si>
  <si>
    <t>сидит спокойно, внимательна, добросовестно выполняет все требования учителя</t>
  </si>
  <si>
    <t>2.3.</t>
  </si>
  <si>
    <t>Поведение вне урока</t>
  </si>
  <si>
    <t>часто нарушает нормы поведения, мешает окружающим;</t>
  </si>
  <si>
    <t xml:space="preserve"> пассивна, движения скованы, избегает общения вне урока;</t>
  </si>
  <si>
    <t>не может найти себе занятие на перемене, переходит от одной группы детей к другой;</t>
  </si>
  <si>
    <t>активность ограничена занятиями, связанными с подготовкой к другому уроку или мероприятию;</t>
  </si>
  <si>
    <t>активность выражена в меньшей степени, предпочитает занятия в классе, чтение и т.д.;</t>
  </si>
  <si>
    <t>высокая активность, с удовольствием участвует в общих делах</t>
  </si>
  <si>
    <t>3.</t>
  </si>
  <si>
    <t>Успешность социальных контактов</t>
  </si>
  <si>
    <t>3.1.</t>
  </si>
  <si>
    <t>Взаимоотношения с одноклассницами</t>
  </si>
  <si>
    <t>негативизм по отношению к сверстникам, постоянно ссорится, одноклассницы его не любят;</t>
  </si>
  <si>
    <t>замкнута, пассивна, предпочитает быть одна, другие девочки к ней равнодушны;</t>
  </si>
  <si>
    <t>предпочитает находиться рядом с одноклассницами, но не вступает с ними в контакт;</t>
  </si>
  <si>
    <t xml:space="preserve"> сфера общения ограничена, контакт только с некоторыми сверстницами;</t>
  </si>
  <si>
    <t>малоактивна,  но легко вступает в контакт, когда к ней обращаются;</t>
  </si>
  <si>
    <t xml:space="preserve"> общительная, коммуникативная, сверстницы её любят, часто общаются</t>
  </si>
  <si>
    <t>3.2.</t>
  </si>
  <si>
    <t>Отношение к учителю</t>
  </si>
  <si>
    <t>общение с учителем приводит к отрицательным эмоциям, неадекватно реагирует, обижается, плачет;</t>
  </si>
  <si>
    <t>избегает контактов с учителем, при контакте тревожна, замыкается</t>
  </si>
  <si>
    <t>выполняет требования формально, не заинтересована в общении, старается быть незаметна</t>
  </si>
  <si>
    <t>старательно выполняет все требования учителя, но от контакта с учителем уклоняется, за помощью обращается к сверстницам;</t>
  </si>
  <si>
    <t>дорожит хорошим мнением учителя о себе, стремится выполнять все требования, в случае необходимости обращается за помощью</t>
  </si>
  <si>
    <t>проявляет дружелюбие, стремится понравиться, часто подходит после урока.</t>
  </si>
  <si>
    <t>4.</t>
  </si>
  <si>
    <t>Эмоциональное благополучие</t>
  </si>
  <si>
    <t>преобладает агрессия или депрессия;</t>
  </si>
  <si>
    <t>выражены депрессивные проявления без причин, агрессивные реакции, часто ссорится с одноклассницами</t>
  </si>
  <si>
    <t>отрицательные эмоции превалируют (тревожность, огорчение, страхи, вспыльчивость, обидчивость);</t>
  </si>
  <si>
    <t>эмоциональные проявления снижены, часто бывает в подавленном настроении;</t>
  </si>
  <si>
    <t>спокойное эмоциональное состояние;</t>
  </si>
  <si>
    <t>находится преимущественно в хорошем настроении, часто улыбается, смеется.</t>
  </si>
  <si>
    <t>Критерий</t>
  </si>
  <si>
    <t>Итого</t>
  </si>
  <si>
    <t>Уровень</t>
  </si>
  <si>
    <t>Александровской 1.1.</t>
  </si>
  <si>
    <t>Александровской 1.2.</t>
  </si>
  <si>
    <t>Александровской 1.3.</t>
  </si>
  <si>
    <t>Александровской 1.4.</t>
  </si>
  <si>
    <t>Александровской 2.1.</t>
  </si>
  <si>
    <t>Александровской 2.2.</t>
  </si>
  <si>
    <t>Александровской 2.3.</t>
  </si>
  <si>
    <t>Александровской 3.1.</t>
  </si>
  <si>
    <t>Александровской 3.2.</t>
  </si>
  <si>
    <t>Александровской 4.</t>
  </si>
  <si>
    <t>Александровской 1.</t>
  </si>
  <si>
    <t>Александровской 2.</t>
  </si>
  <si>
    <t>Александровской 3.</t>
  </si>
  <si>
    <t>Александровской общий</t>
  </si>
  <si>
    <t>метрика</t>
  </si>
  <si>
    <t>балл (зона)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</si>
</sst>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8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2"/>
      <color rgb="FF000000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0"/>
      <color indexed="8"/>
      <name val="Arial"/>
      <family val="2"/>
      <charset val="204"/>
    </font>
    <font>
      <sz val="11"/>
      <color indexed="8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2">
    <xf numFmtId="0" fontId="0" fillId="0" borderId="0"/>
    <xf numFmtId="0" fontId="6" fillId="0" borderId="0"/>
  </cellStyleXfs>
  <cellXfs count="34">
    <xf numFmtId="0" fontId="0" fillId="0" borderId="0" xfId="0"/>
    <xf numFmtId="0" fontId="0" fillId="0" borderId="1" xfId="0" applyBorder="1"/>
    <xf numFmtId="0" fontId="0" fillId="0" borderId="0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2" fillId="0" borderId="6" xfId="0" applyFont="1" applyBorder="1" applyAlignment="1">
      <alignment horizontal="center" vertical="top"/>
    </xf>
    <xf numFmtId="0" fontId="2" fillId="0" borderId="6" xfId="0" applyFont="1" applyBorder="1" applyAlignment="1">
      <alignment horizontal="left"/>
    </xf>
    <xf numFmtId="0" fontId="2" fillId="0" borderId="6" xfId="0" applyFont="1" applyBorder="1"/>
    <xf numFmtId="0" fontId="0" fillId="0" borderId="6" xfId="0" applyBorder="1" applyAlignment="1">
      <alignment horizontal="center" vertical="top"/>
    </xf>
    <xf numFmtId="0" fontId="0" fillId="0" borderId="6" xfId="0" applyBorder="1"/>
    <xf numFmtId="0" fontId="0" fillId="0" borderId="6" xfId="0" applyFill="1" applyBorder="1"/>
    <xf numFmtId="0" fontId="2" fillId="0" borderId="0" xfId="0" applyFont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horizontal="left"/>
    </xf>
    <xf numFmtId="0" fontId="2" fillId="0" borderId="9" xfId="0" applyFont="1" applyBorder="1"/>
    <xf numFmtId="16" fontId="0" fillId="0" borderId="6" xfId="0" applyNumberFormat="1" applyBorder="1"/>
    <xf numFmtId="0" fontId="0" fillId="0" borderId="9" xfId="0" applyBorder="1"/>
    <xf numFmtId="0" fontId="7" fillId="0" borderId="0" xfId="1" applyFont="1" applyFill="1" applyBorder="1" applyAlignment="1">
      <alignment wrapText="1"/>
    </xf>
    <xf numFmtId="0" fontId="7" fillId="0" borderId="11" xfId="1" applyFont="1" applyFill="1" applyBorder="1" applyAlignment="1">
      <alignment wrapText="1"/>
    </xf>
    <xf numFmtId="0" fontId="7" fillId="0" borderId="12" xfId="1" applyFont="1" applyFill="1" applyBorder="1" applyAlignment="1">
      <alignment wrapText="1"/>
    </xf>
    <xf numFmtId="0" fontId="0" fillId="0" borderId="0" xfId="0" applyFill="1" applyBorder="1"/>
    <xf numFmtId="0" fontId="0" fillId="0" borderId="6" xfId="0" applyBorder="1" applyAlignment="1">
      <alignment horizontal="left"/>
    </xf>
    <xf numFmtId="0" fontId="0" fillId="0" borderId="0" xfId="0" applyProtection="1">
      <protection locked="0"/>
    </xf>
    <xf numFmtId="0" fontId="2" fillId="0" borderId="10" xfId="0" applyFont="1" applyBorder="1" applyAlignment="1">
      <alignment horizontal="left"/>
    </xf>
    <xf numFmtId="164" fontId="0" fillId="0" borderId="6" xfId="0" applyNumberFormat="1" applyBorder="1" applyAlignment="1">
      <alignment horizontal="center" vertical="top"/>
    </xf>
    <xf numFmtId="0" fontId="0" fillId="0" borderId="6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 indent="3"/>
    </xf>
    <xf numFmtId="0" fontId="0" fillId="0" borderId="8" xfId="0" applyBorder="1" applyAlignment="1">
      <alignment horizontal="left" vertical="top" wrapText="1" indent="3"/>
    </xf>
    <xf numFmtId="0" fontId="0" fillId="0" borderId="9" xfId="0" applyBorder="1" applyAlignment="1">
      <alignment horizontal="left" vertical="top" wrapText="1" indent="3"/>
    </xf>
    <xf numFmtId="0" fontId="2" fillId="0" borderId="6" xfId="0" applyFont="1" applyBorder="1" applyAlignment="1">
      <alignment horizontal="left"/>
    </xf>
    <xf numFmtId="0" fontId="3" fillId="0" borderId="0" xfId="0" applyFont="1" applyAlignment="1">
      <alignment horizontal="center" vertical="center"/>
    </xf>
    <xf numFmtId="0" fontId="5" fillId="0" borderId="6" xfId="0" applyFont="1" applyBorder="1" applyAlignment="1">
      <alignment horizontal="left"/>
    </xf>
  </cellXfs>
  <cellStyles count="2">
    <cellStyle name="Normal" xfId="0" builtinId="0"/>
    <cellStyle name="Normal_Итоговые метрики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Radio" checked="Checked" firstButton="1" fmlaLink="$L$4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Radio" checked="Checked" firstButton="1" fmlaLink="$L$10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GBox" noThreeD="1"/>
</file>

<file path=xl/ctrlProps/ctrlProp16.xml><?xml version="1.0" encoding="utf-8"?>
<formControlPr xmlns="http://schemas.microsoft.com/office/spreadsheetml/2009/9/main" objectType="Radio" checked="Checked" firstButton="1" fmlaLink="$L$16" lockText="1" noThreeD="1"/>
</file>

<file path=xl/ctrlProps/ctrlProp17.xml><?xml version="1.0" encoding="utf-8"?>
<formControlPr xmlns="http://schemas.microsoft.com/office/spreadsheetml/2009/9/main" objectType="Radio" lockText="1" noThreeD="1"/>
</file>

<file path=xl/ctrlProps/ctrlProp18.xml><?xml version="1.0" encoding="utf-8"?>
<formControlPr xmlns="http://schemas.microsoft.com/office/spreadsheetml/2009/9/main" objectType="Radio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Radio" lockText="1" noThreeD="1"/>
</file>

<file path=xl/ctrlProps/ctrlProp21.xml><?xml version="1.0" encoding="utf-8"?>
<formControlPr xmlns="http://schemas.microsoft.com/office/spreadsheetml/2009/9/main" objectType="Radio" lockText="1" noThreeD="1"/>
</file>

<file path=xl/ctrlProps/ctrlProp22.xml><?xml version="1.0" encoding="utf-8"?>
<formControlPr xmlns="http://schemas.microsoft.com/office/spreadsheetml/2009/9/main" objectType="GBox" noThreeD="1"/>
</file>

<file path=xl/ctrlProps/ctrlProp23.xml><?xml version="1.0" encoding="utf-8"?>
<formControlPr xmlns="http://schemas.microsoft.com/office/spreadsheetml/2009/9/main" objectType="Radio" checked="Checked" firstButton="1" fmlaLink="$L$22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Radio" lockText="1" noThreeD="1"/>
</file>

<file path=xl/ctrlProps/ctrlProp26.xml><?xml version="1.0" encoding="utf-8"?>
<formControlPr xmlns="http://schemas.microsoft.com/office/spreadsheetml/2009/9/main" objectType="Radio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Radio" lockText="1" noThreeD="1"/>
</file>

<file path=xl/ctrlProps/ctrlProp29.xml><?xml version="1.0" encoding="utf-8"?>
<formControlPr xmlns="http://schemas.microsoft.com/office/spreadsheetml/2009/9/main" objectType="GBox" noThreeD="1"/>
</file>

<file path=xl/ctrlProps/ctrlProp30.xml><?xml version="1.0" encoding="utf-8"?>
<formControlPr xmlns="http://schemas.microsoft.com/office/spreadsheetml/2009/9/main" objectType="Radio" checked="Checked" firstButton="1" fmlaLink="$L$29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GBox" noThreeD="1"/>
</file>

<file path=xl/ctrlProps/ctrlProp37.xml><?xml version="1.0" encoding="utf-8"?>
<formControlPr xmlns="http://schemas.microsoft.com/office/spreadsheetml/2009/9/main" objectType="Radio" checked="Checked" firstButton="1" fmlaLink="$L$35" lockText="1" noThreeD="1"/>
</file>

<file path=xl/ctrlProps/ctrlProp38.xml><?xml version="1.0" encoding="utf-8"?>
<formControlPr xmlns="http://schemas.microsoft.com/office/spreadsheetml/2009/9/main" objectType="Radio" lockText="1" noThreeD="1"/>
</file>

<file path=xl/ctrlProps/ctrlProp39.xml><?xml version="1.0" encoding="utf-8"?>
<formControlPr xmlns="http://schemas.microsoft.com/office/spreadsheetml/2009/9/main" objectType="Radio" lockText="1" noThreeD="1"/>
</file>

<file path=xl/ctrlProps/ctrlProp40.xml><?xml version="1.0" encoding="utf-8"?>
<formControlPr xmlns="http://schemas.microsoft.com/office/spreadsheetml/2009/9/main" objectType="Radio" lockText="1" noThreeD="1"/>
</file>

<file path=xl/ctrlProps/ctrlProp41.xml><?xml version="1.0" encoding="utf-8"?>
<formControlPr xmlns="http://schemas.microsoft.com/office/spreadsheetml/2009/9/main" objectType="Radio" lockText="1" noThreeD="1"/>
</file>

<file path=xl/ctrlProps/ctrlProp42.xml><?xml version="1.0" encoding="utf-8"?>
<formControlPr xmlns="http://schemas.microsoft.com/office/spreadsheetml/2009/9/main" objectType="Radio" lockText="1" noThreeD="1"/>
</file>

<file path=xl/ctrlProps/ctrlProp43.xml><?xml version="1.0" encoding="utf-8"?>
<formControlPr xmlns="http://schemas.microsoft.com/office/spreadsheetml/2009/9/main" objectType="GBox" noThreeD="1"/>
</file>

<file path=xl/ctrlProps/ctrlProp44.xml><?xml version="1.0" encoding="utf-8"?>
<formControlPr xmlns="http://schemas.microsoft.com/office/spreadsheetml/2009/9/main" objectType="Radio" checked="Checked" firstButton="1" fmlaLink="$L$41" lockText="1" noThreeD="1"/>
</file>

<file path=xl/ctrlProps/ctrlProp45.xml><?xml version="1.0" encoding="utf-8"?>
<formControlPr xmlns="http://schemas.microsoft.com/office/spreadsheetml/2009/9/main" objectType="Radio" lockText="1" noThreeD="1"/>
</file>

<file path=xl/ctrlProps/ctrlProp46.xml><?xml version="1.0" encoding="utf-8"?>
<formControlPr xmlns="http://schemas.microsoft.com/office/spreadsheetml/2009/9/main" objectType="Radio" lockText="1" noThreeD="1"/>
</file>

<file path=xl/ctrlProps/ctrlProp47.xml><?xml version="1.0" encoding="utf-8"?>
<formControlPr xmlns="http://schemas.microsoft.com/office/spreadsheetml/2009/9/main" objectType="Radio" lockText="1" noThreeD="1"/>
</file>

<file path=xl/ctrlProps/ctrlProp48.xml><?xml version="1.0" encoding="utf-8"?>
<formControlPr xmlns="http://schemas.microsoft.com/office/spreadsheetml/2009/9/main" objectType="Radio" lockText="1" noThreeD="1"/>
</file>

<file path=xl/ctrlProps/ctrlProp49.xml><?xml version="1.0" encoding="utf-8"?>
<formControlPr xmlns="http://schemas.microsoft.com/office/spreadsheetml/2009/9/main" objectType="Radio" lockText="1" noThreeD="1"/>
</file>

<file path=xl/ctrlProps/ctrlProp50.xml><?xml version="1.0" encoding="utf-8"?>
<formControlPr xmlns="http://schemas.microsoft.com/office/spreadsheetml/2009/9/main" objectType="GBox" noThreeD="1"/>
</file>

<file path=xl/ctrlProps/ctrlProp51.xml><?xml version="1.0" encoding="utf-8"?>
<formControlPr xmlns="http://schemas.microsoft.com/office/spreadsheetml/2009/9/main" objectType="Radio" checked="Checked" firstButton="1" fmlaLink="$L$48" lockText="1" noThreeD="1"/>
</file>

<file path=xl/ctrlProps/ctrlProp52.xml><?xml version="1.0" encoding="utf-8"?>
<formControlPr xmlns="http://schemas.microsoft.com/office/spreadsheetml/2009/9/main" objectType="Radio" lockText="1" noThreeD="1"/>
</file>

<file path=xl/ctrlProps/ctrlProp53.xml><?xml version="1.0" encoding="utf-8"?>
<formControlPr xmlns="http://schemas.microsoft.com/office/spreadsheetml/2009/9/main" objectType="Radio" lockText="1" noThreeD="1"/>
</file>

<file path=xl/ctrlProps/ctrlProp54.xml><?xml version="1.0" encoding="utf-8"?>
<formControlPr xmlns="http://schemas.microsoft.com/office/spreadsheetml/2009/9/main" objectType="Radio" lockText="1" noThreeD="1"/>
</file>

<file path=xl/ctrlProps/ctrlProp55.xml><?xml version="1.0" encoding="utf-8"?>
<formControlPr xmlns="http://schemas.microsoft.com/office/spreadsheetml/2009/9/main" objectType="Radio" lockText="1" noThreeD="1"/>
</file>

<file path=xl/ctrlProps/ctrlProp56.xml><?xml version="1.0" encoding="utf-8"?>
<formControlPr xmlns="http://schemas.microsoft.com/office/spreadsheetml/2009/9/main" objectType="Radio" lockText="1" noThreeD="1"/>
</file>

<file path=xl/ctrlProps/ctrlProp57.xml><?xml version="1.0" encoding="utf-8"?>
<formControlPr xmlns="http://schemas.microsoft.com/office/spreadsheetml/2009/9/main" objectType="GBox" noThreeD="1"/>
</file>

<file path=xl/ctrlProps/ctrlProp58.xml><?xml version="1.0" encoding="utf-8"?>
<formControlPr xmlns="http://schemas.microsoft.com/office/spreadsheetml/2009/9/main" objectType="Radio" checked="Checked" firstButton="1" fmlaLink="$L$54" lockText="1" noThreeD="1"/>
</file>

<file path=xl/ctrlProps/ctrlProp59.xml><?xml version="1.0" encoding="utf-8"?>
<formControlPr xmlns="http://schemas.microsoft.com/office/spreadsheetml/2009/9/main" objectType="Radio" lockText="1" noThreeD="1"/>
</file>

<file path=xl/ctrlProps/ctrlProp60.xml><?xml version="1.0" encoding="utf-8"?>
<formControlPr xmlns="http://schemas.microsoft.com/office/spreadsheetml/2009/9/main" objectType="Radio" lockText="1" noThreeD="1"/>
</file>

<file path=xl/ctrlProps/ctrlProp61.xml><?xml version="1.0" encoding="utf-8"?>
<formControlPr xmlns="http://schemas.microsoft.com/office/spreadsheetml/2009/9/main" objectType="Radio" lockText="1" noThreeD="1"/>
</file>

<file path=xl/ctrlProps/ctrlProp62.xml><?xml version="1.0" encoding="utf-8"?>
<formControlPr xmlns="http://schemas.microsoft.com/office/spreadsheetml/2009/9/main" objectType="Radio" lockText="1" noThreeD="1"/>
</file>

<file path=xl/ctrlProps/ctrlProp63.xml><?xml version="1.0" encoding="utf-8"?>
<formControlPr xmlns="http://schemas.microsoft.com/office/spreadsheetml/2009/9/main" objectType="Radio" lockText="1" noThreeD="1"/>
</file>

<file path=xl/ctrlProps/ctrlProp64.xml><?xml version="1.0" encoding="utf-8"?>
<formControlPr xmlns="http://schemas.microsoft.com/office/spreadsheetml/2009/9/main" objectType="GBox" noThreeD="1"/>
</file>

<file path=xl/ctrlProps/ctrlProp65.xml><?xml version="1.0" encoding="utf-8"?>
<formControlPr xmlns="http://schemas.microsoft.com/office/spreadsheetml/2009/9/main" objectType="Radio" checked="Checked" firstButton="1" fmlaLink="$L$61" lockText="1" noThreeD="1"/>
</file>

<file path=xl/ctrlProps/ctrlProp66.xml><?xml version="1.0" encoding="utf-8"?>
<formControlPr xmlns="http://schemas.microsoft.com/office/spreadsheetml/2009/9/main" objectType="Radio" lockText="1" noThreeD="1"/>
</file>

<file path=xl/ctrlProps/ctrlProp67.xml><?xml version="1.0" encoding="utf-8"?>
<formControlPr xmlns="http://schemas.microsoft.com/office/spreadsheetml/2009/9/main" objectType="Radio" lockText="1" noThreeD="1"/>
</file>

<file path=xl/ctrlProps/ctrlProp68.xml><?xml version="1.0" encoding="utf-8"?>
<formControlPr xmlns="http://schemas.microsoft.com/office/spreadsheetml/2009/9/main" objectType="Radio" lockText="1" noThreeD="1"/>
</file>

<file path=xl/ctrlProps/ctrlProp69.xml><?xml version="1.0" encoding="utf-8"?>
<formControlPr xmlns="http://schemas.microsoft.com/office/spreadsheetml/2009/9/main" objectType="Radio" lockText="1" noThreeD="1"/>
</file>

<file path=xl/ctrlProps/ctrlProp70.xml><?xml version="1.0" encoding="utf-8"?>
<formControlPr xmlns="http://schemas.microsoft.com/office/spreadsheetml/2009/9/main" objectType="Radio" lockText="1" noThreeD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2</xdr:row>
          <xdr:rowOff>180975</xdr:rowOff>
        </xdr:from>
        <xdr:to>
          <xdr:col>11</xdr:col>
          <xdr:colOff>0</xdr:colOff>
          <xdr:row>9</xdr:row>
          <xdr:rowOff>0</xdr:rowOff>
        </xdr:to>
        <xdr:sp macro="" textlink="">
          <xdr:nvSpPr>
            <xdr:cNvPr id="8193" name="Group Box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19050</xdr:rowOff>
        </xdr:from>
        <xdr:to>
          <xdr:col>10</xdr:col>
          <xdr:colOff>2390775</xdr:colOff>
          <xdr:row>3</xdr:row>
          <xdr:rowOff>590550</xdr:rowOff>
        </xdr:to>
        <xdr:sp macro="" textlink="">
          <xdr:nvSpPr>
            <xdr:cNvPr id="8194" name="Option 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4</xdr:row>
          <xdr:rowOff>19050</xdr:rowOff>
        </xdr:from>
        <xdr:to>
          <xdr:col>10</xdr:col>
          <xdr:colOff>2390775</xdr:colOff>
          <xdr:row>4</xdr:row>
          <xdr:rowOff>590550</xdr:rowOff>
        </xdr:to>
        <xdr:sp macro="" textlink="">
          <xdr:nvSpPr>
            <xdr:cNvPr id="8195" name="Option 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10</xdr:col>
          <xdr:colOff>2390775</xdr:colOff>
          <xdr:row>5</xdr:row>
          <xdr:rowOff>590550</xdr:rowOff>
        </xdr:to>
        <xdr:sp macro="" textlink="">
          <xdr:nvSpPr>
            <xdr:cNvPr id="8196" name="Option Butto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6</xdr:row>
          <xdr:rowOff>19050</xdr:rowOff>
        </xdr:from>
        <xdr:to>
          <xdr:col>10</xdr:col>
          <xdr:colOff>2390775</xdr:colOff>
          <xdr:row>6</xdr:row>
          <xdr:rowOff>590550</xdr:rowOff>
        </xdr:to>
        <xdr:sp macro="" textlink="">
          <xdr:nvSpPr>
            <xdr:cNvPr id="8197" name="Option 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19050</xdr:rowOff>
        </xdr:from>
        <xdr:to>
          <xdr:col>10</xdr:col>
          <xdr:colOff>2390775</xdr:colOff>
          <xdr:row>7</xdr:row>
          <xdr:rowOff>590550</xdr:rowOff>
        </xdr:to>
        <xdr:sp macro="" textlink="">
          <xdr:nvSpPr>
            <xdr:cNvPr id="8198" name="Option Butto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</xdr:rowOff>
        </xdr:from>
        <xdr:to>
          <xdr:col>10</xdr:col>
          <xdr:colOff>2390775</xdr:colOff>
          <xdr:row>8</xdr:row>
          <xdr:rowOff>590550</xdr:rowOff>
        </xdr:to>
        <xdr:sp macro="" textlink="">
          <xdr:nvSpPr>
            <xdr:cNvPr id="8199" name="Option 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9</xdr:row>
          <xdr:rowOff>9525</xdr:rowOff>
        </xdr:from>
        <xdr:to>
          <xdr:col>11</xdr:col>
          <xdr:colOff>0</xdr:colOff>
          <xdr:row>14</xdr:row>
          <xdr:rowOff>600075</xdr:rowOff>
        </xdr:to>
        <xdr:sp macro="" textlink="">
          <xdr:nvSpPr>
            <xdr:cNvPr id="8200" name="Group Box 8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9</xdr:row>
          <xdr:rowOff>19050</xdr:rowOff>
        </xdr:from>
        <xdr:to>
          <xdr:col>10</xdr:col>
          <xdr:colOff>2390775</xdr:colOff>
          <xdr:row>9</xdr:row>
          <xdr:rowOff>590550</xdr:rowOff>
        </xdr:to>
        <xdr:sp macro="" textlink="">
          <xdr:nvSpPr>
            <xdr:cNvPr id="8201" name="Option Button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10</xdr:row>
          <xdr:rowOff>19050</xdr:rowOff>
        </xdr:from>
        <xdr:to>
          <xdr:col>10</xdr:col>
          <xdr:colOff>2390775</xdr:colOff>
          <xdr:row>10</xdr:row>
          <xdr:rowOff>590550</xdr:rowOff>
        </xdr:to>
        <xdr:sp macro="" textlink="">
          <xdr:nvSpPr>
            <xdr:cNvPr id="8202" name="Option Button 10" hidden="1">
              <a:extLst>
                <a:ext uri="{63B3BB69-23CF-44E3-9099-C40C66FF867C}">
                  <a14:compatExt spid="_x0000_s8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11</xdr:row>
          <xdr:rowOff>19050</xdr:rowOff>
        </xdr:from>
        <xdr:to>
          <xdr:col>10</xdr:col>
          <xdr:colOff>2390775</xdr:colOff>
          <xdr:row>11</xdr:row>
          <xdr:rowOff>590550</xdr:rowOff>
        </xdr:to>
        <xdr:sp macro="" textlink="">
          <xdr:nvSpPr>
            <xdr:cNvPr id="8203" name="Option Button 11" hidden="1">
              <a:extLst>
                <a:ext uri="{63B3BB69-23CF-44E3-9099-C40C66FF867C}">
                  <a14:compatExt spid="_x0000_s8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12</xdr:row>
          <xdr:rowOff>19050</xdr:rowOff>
        </xdr:from>
        <xdr:to>
          <xdr:col>10</xdr:col>
          <xdr:colOff>2390775</xdr:colOff>
          <xdr:row>12</xdr:row>
          <xdr:rowOff>590550</xdr:rowOff>
        </xdr:to>
        <xdr:sp macro="" textlink="">
          <xdr:nvSpPr>
            <xdr:cNvPr id="8204" name="Option Button 12" hidden="1">
              <a:extLst>
                <a:ext uri="{63B3BB69-23CF-44E3-9099-C40C66FF867C}">
                  <a14:compatExt spid="_x0000_s8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13</xdr:row>
          <xdr:rowOff>19050</xdr:rowOff>
        </xdr:from>
        <xdr:to>
          <xdr:col>10</xdr:col>
          <xdr:colOff>2390775</xdr:colOff>
          <xdr:row>13</xdr:row>
          <xdr:rowOff>590550</xdr:rowOff>
        </xdr:to>
        <xdr:sp macro="" textlink="">
          <xdr:nvSpPr>
            <xdr:cNvPr id="8205" name="Option Button 13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14</xdr:row>
          <xdr:rowOff>19050</xdr:rowOff>
        </xdr:from>
        <xdr:to>
          <xdr:col>10</xdr:col>
          <xdr:colOff>2390775</xdr:colOff>
          <xdr:row>14</xdr:row>
          <xdr:rowOff>590550</xdr:rowOff>
        </xdr:to>
        <xdr:sp macro="" textlink="">
          <xdr:nvSpPr>
            <xdr:cNvPr id="8206" name="Option Button 14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15</xdr:row>
          <xdr:rowOff>9525</xdr:rowOff>
        </xdr:from>
        <xdr:to>
          <xdr:col>11</xdr:col>
          <xdr:colOff>0</xdr:colOff>
          <xdr:row>20</xdr:row>
          <xdr:rowOff>609600</xdr:rowOff>
        </xdr:to>
        <xdr:sp macro="" textlink="">
          <xdr:nvSpPr>
            <xdr:cNvPr id="8207" name="Group Box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15</xdr:row>
          <xdr:rowOff>19050</xdr:rowOff>
        </xdr:from>
        <xdr:to>
          <xdr:col>10</xdr:col>
          <xdr:colOff>2390775</xdr:colOff>
          <xdr:row>15</xdr:row>
          <xdr:rowOff>590550</xdr:rowOff>
        </xdr:to>
        <xdr:sp macro="" textlink="">
          <xdr:nvSpPr>
            <xdr:cNvPr id="8208" name="Option Button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16</xdr:row>
          <xdr:rowOff>19050</xdr:rowOff>
        </xdr:from>
        <xdr:to>
          <xdr:col>10</xdr:col>
          <xdr:colOff>2390775</xdr:colOff>
          <xdr:row>16</xdr:row>
          <xdr:rowOff>590550</xdr:rowOff>
        </xdr:to>
        <xdr:sp macro="" textlink="">
          <xdr:nvSpPr>
            <xdr:cNvPr id="8209" name="Option Button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17</xdr:row>
          <xdr:rowOff>19050</xdr:rowOff>
        </xdr:from>
        <xdr:to>
          <xdr:col>10</xdr:col>
          <xdr:colOff>2390775</xdr:colOff>
          <xdr:row>17</xdr:row>
          <xdr:rowOff>590550</xdr:rowOff>
        </xdr:to>
        <xdr:sp macro="" textlink="">
          <xdr:nvSpPr>
            <xdr:cNvPr id="8210" name="Option Button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18</xdr:row>
          <xdr:rowOff>19050</xdr:rowOff>
        </xdr:from>
        <xdr:to>
          <xdr:col>10</xdr:col>
          <xdr:colOff>2390775</xdr:colOff>
          <xdr:row>18</xdr:row>
          <xdr:rowOff>590550</xdr:rowOff>
        </xdr:to>
        <xdr:sp macro="" textlink="">
          <xdr:nvSpPr>
            <xdr:cNvPr id="8211" name="Option Button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19</xdr:row>
          <xdr:rowOff>19050</xdr:rowOff>
        </xdr:from>
        <xdr:to>
          <xdr:col>10</xdr:col>
          <xdr:colOff>2390775</xdr:colOff>
          <xdr:row>19</xdr:row>
          <xdr:rowOff>590550</xdr:rowOff>
        </xdr:to>
        <xdr:sp macro="" textlink="">
          <xdr:nvSpPr>
            <xdr:cNvPr id="8212" name="Option Button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20</xdr:row>
          <xdr:rowOff>19050</xdr:rowOff>
        </xdr:from>
        <xdr:to>
          <xdr:col>10</xdr:col>
          <xdr:colOff>2390775</xdr:colOff>
          <xdr:row>20</xdr:row>
          <xdr:rowOff>590550</xdr:rowOff>
        </xdr:to>
        <xdr:sp macro="" textlink="">
          <xdr:nvSpPr>
            <xdr:cNvPr id="8213" name="Option Button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21</xdr:row>
          <xdr:rowOff>9525</xdr:rowOff>
        </xdr:from>
        <xdr:to>
          <xdr:col>11</xdr:col>
          <xdr:colOff>0</xdr:colOff>
          <xdr:row>26</xdr:row>
          <xdr:rowOff>609600</xdr:rowOff>
        </xdr:to>
        <xdr:sp macro="" textlink="">
          <xdr:nvSpPr>
            <xdr:cNvPr id="8214" name="Group Box 22" hidden="1">
              <a:extLst>
                <a:ext uri="{63B3BB69-23CF-44E3-9099-C40C66FF867C}">
                  <a14:compatExt spid="_x0000_s8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21</xdr:row>
          <xdr:rowOff>19050</xdr:rowOff>
        </xdr:from>
        <xdr:to>
          <xdr:col>10</xdr:col>
          <xdr:colOff>2390775</xdr:colOff>
          <xdr:row>21</xdr:row>
          <xdr:rowOff>590550</xdr:rowOff>
        </xdr:to>
        <xdr:sp macro="" textlink="">
          <xdr:nvSpPr>
            <xdr:cNvPr id="8215" name="Option Button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22</xdr:row>
          <xdr:rowOff>19050</xdr:rowOff>
        </xdr:from>
        <xdr:to>
          <xdr:col>10</xdr:col>
          <xdr:colOff>2390775</xdr:colOff>
          <xdr:row>22</xdr:row>
          <xdr:rowOff>590550</xdr:rowOff>
        </xdr:to>
        <xdr:sp macro="" textlink="">
          <xdr:nvSpPr>
            <xdr:cNvPr id="8216" name="Option Button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19050</xdr:rowOff>
        </xdr:from>
        <xdr:to>
          <xdr:col>10</xdr:col>
          <xdr:colOff>2390775</xdr:colOff>
          <xdr:row>23</xdr:row>
          <xdr:rowOff>590550</xdr:rowOff>
        </xdr:to>
        <xdr:sp macro="" textlink="">
          <xdr:nvSpPr>
            <xdr:cNvPr id="8217" name="Option Button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24</xdr:row>
          <xdr:rowOff>19050</xdr:rowOff>
        </xdr:from>
        <xdr:to>
          <xdr:col>10</xdr:col>
          <xdr:colOff>2390775</xdr:colOff>
          <xdr:row>24</xdr:row>
          <xdr:rowOff>590550</xdr:rowOff>
        </xdr:to>
        <xdr:sp macro="" textlink="">
          <xdr:nvSpPr>
            <xdr:cNvPr id="8218" name="Option Button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25</xdr:row>
          <xdr:rowOff>19050</xdr:rowOff>
        </xdr:from>
        <xdr:to>
          <xdr:col>10</xdr:col>
          <xdr:colOff>2390775</xdr:colOff>
          <xdr:row>25</xdr:row>
          <xdr:rowOff>590550</xdr:rowOff>
        </xdr:to>
        <xdr:sp macro="" textlink="">
          <xdr:nvSpPr>
            <xdr:cNvPr id="8219" name="Option Butto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26</xdr:row>
          <xdr:rowOff>19050</xdr:rowOff>
        </xdr:from>
        <xdr:to>
          <xdr:col>10</xdr:col>
          <xdr:colOff>2390775</xdr:colOff>
          <xdr:row>26</xdr:row>
          <xdr:rowOff>590550</xdr:rowOff>
        </xdr:to>
        <xdr:sp macro="" textlink="">
          <xdr:nvSpPr>
            <xdr:cNvPr id="8220" name="Option Button 28" hidden="1">
              <a:extLst>
                <a:ext uri="{63B3BB69-23CF-44E3-9099-C40C66FF867C}">
                  <a14:compatExt spid="_x0000_s8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28</xdr:row>
          <xdr:rowOff>9525</xdr:rowOff>
        </xdr:from>
        <xdr:to>
          <xdr:col>11</xdr:col>
          <xdr:colOff>0</xdr:colOff>
          <xdr:row>33</xdr:row>
          <xdr:rowOff>609600</xdr:rowOff>
        </xdr:to>
        <xdr:sp macro="" textlink="">
          <xdr:nvSpPr>
            <xdr:cNvPr id="8221" name="Group Box 29" hidden="1">
              <a:extLst>
                <a:ext uri="{63B3BB69-23CF-44E3-9099-C40C66FF867C}">
                  <a14:compatExt spid="_x0000_s8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28</xdr:row>
          <xdr:rowOff>19050</xdr:rowOff>
        </xdr:from>
        <xdr:to>
          <xdr:col>10</xdr:col>
          <xdr:colOff>2390775</xdr:colOff>
          <xdr:row>28</xdr:row>
          <xdr:rowOff>590550</xdr:rowOff>
        </xdr:to>
        <xdr:sp macro="" textlink="">
          <xdr:nvSpPr>
            <xdr:cNvPr id="8222" name="Option Button 30" hidden="1">
              <a:extLst>
                <a:ext uri="{63B3BB69-23CF-44E3-9099-C40C66FF867C}">
                  <a14:compatExt spid="_x0000_s8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29</xdr:row>
          <xdr:rowOff>19050</xdr:rowOff>
        </xdr:from>
        <xdr:to>
          <xdr:col>10</xdr:col>
          <xdr:colOff>2390775</xdr:colOff>
          <xdr:row>29</xdr:row>
          <xdr:rowOff>590550</xdr:rowOff>
        </xdr:to>
        <xdr:sp macro="" textlink="">
          <xdr:nvSpPr>
            <xdr:cNvPr id="8223" name="Option Button 31" hidden="1">
              <a:extLst>
                <a:ext uri="{63B3BB69-23CF-44E3-9099-C40C66FF867C}">
                  <a14:compatExt spid="_x0000_s8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30</xdr:row>
          <xdr:rowOff>19050</xdr:rowOff>
        </xdr:from>
        <xdr:to>
          <xdr:col>10</xdr:col>
          <xdr:colOff>2390775</xdr:colOff>
          <xdr:row>30</xdr:row>
          <xdr:rowOff>590550</xdr:rowOff>
        </xdr:to>
        <xdr:sp macro="" textlink="">
          <xdr:nvSpPr>
            <xdr:cNvPr id="8224" name="Option Button 32" hidden="1">
              <a:extLst>
                <a:ext uri="{63B3BB69-23CF-44E3-9099-C40C66FF867C}">
                  <a14:compatExt spid="_x0000_s8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31</xdr:row>
          <xdr:rowOff>19050</xdr:rowOff>
        </xdr:from>
        <xdr:to>
          <xdr:col>10</xdr:col>
          <xdr:colOff>2390775</xdr:colOff>
          <xdr:row>31</xdr:row>
          <xdr:rowOff>590550</xdr:rowOff>
        </xdr:to>
        <xdr:sp macro="" textlink="">
          <xdr:nvSpPr>
            <xdr:cNvPr id="8225" name="Option Button 33" hidden="1">
              <a:extLst>
                <a:ext uri="{63B3BB69-23CF-44E3-9099-C40C66FF867C}">
                  <a14:compatExt spid="_x0000_s8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32</xdr:row>
          <xdr:rowOff>19050</xdr:rowOff>
        </xdr:from>
        <xdr:to>
          <xdr:col>10</xdr:col>
          <xdr:colOff>2390775</xdr:colOff>
          <xdr:row>32</xdr:row>
          <xdr:rowOff>590550</xdr:rowOff>
        </xdr:to>
        <xdr:sp macro="" textlink="">
          <xdr:nvSpPr>
            <xdr:cNvPr id="8226" name="Option Button 34" hidden="1">
              <a:extLst>
                <a:ext uri="{63B3BB69-23CF-44E3-9099-C40C66FF867C}">
                  <a14:compatExt spid="_x0000_s8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33</xdr:row>
          <xdr:rowOff>19050</xdr:rowOff>
        </xdr:from>
        <xdr:to>
          <xdr:col>10</xdr:col>
          <xdr:colOff>2390775</xdr:colOff>
          <xdr:row>33</xdr:row>
          <xdr:rowOff>590550</xdr:rowOff>
        </xdr:to>
        <xdr:sp macro="" textlink="">
          <xdr:nvSpPr>
            <xdr:cNvPr id="8227" name="Option Button 35" hidden="1">
              <a:extLst>
                <a:ext uri="{63B3BB69-23CF-44E3-9099-C40C66FF867C}">
                  <a14:compatExt spid="_x0000_s8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34</xdr:row>
          <xdr:rowOff>9525</xdr:rowOff>
        </xdr:from>
        <xdr:to>
          <xdr:col>11</xdr:col>
          <xdr:colOff>0</xdr:colOff>
          <xdr:row>39</xdr:row>
          <xdr:rowOff>609600</xdr:rowOff>
        </xdr:to>
        <xdr:sp macro="" textlink="">
          <xdr:nvSpPr>
            <xdr:cNvPr id="8228" name="Group Box 36" hidden="1">
              <a:extLst>
                <a:ext uri="{63B3BB69-23CF-44E3-9099-C40C66FF867C}">
                  <a14:compatExt spid="_x0000_s8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34</xdr:row>
          <xdr:rowOff>19050</xdr:rowOff>
        </xdr:from>
        <xdr:to>
          <xdr:col>10</xdr:col>
          <xdr:colOff>2390775</xdr:colOff>
          <xdr:row>34</xdr:row>
          <xdr:rowOff>590550</xdr:rowOff>
        </xdr:to>
        <xdr:sp macro="" textlink="">
          <xdr:nvSpPr>
            <xdr:cNvPr id="8229" name="Option Button 37" hidden="1">
              <a:extLst>
                <a:ext uri="{63B3BB69-23CF-44E3-9099-C40C66FF867C}">
                  <a14:compatExt spid="_x0000_s8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35</xdr:row>
          <xdr:rowOff>19050</xdr:rowOff>
        </xdr:from>
        <xdr:to>
          <xdr:col>10</xdr:col>
          <xdr:colOff>2390775</xdr:colOff>
          <xdr:row>35</xdr:row>
          <xdr:rowOff>590550</xdr:rowOff>
        </xdr:to>
        <xdr:sp macro="" textlink="">
          <xdr:nvSpPr>
            <xdr:cNvPr id="8230" name="Option Button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36</xdr:row>
          <xdr:rowOff>19050</xdr:rowOff>
        </xdr:from>
        <xdr:to>
          <xdr:col>10</xdr:col>
          <xdr:colOff>2390775</xdr:colOff>
          <xdr:row>36</xdr:row>
          <xdr:rowOff>590550</xdr:rowOff>
        </xdr:to>
        <xdr:sp macro="" textlink="">
          <xdr:nvSpPr>
            <xdr:cNvPr id="8231" name="Option Button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37</xdr:row>
          <xdr:rowOff>19050</xdr:rowOff>
        </xdr:from>
        <xdr:to>
          <xdr:col>10</xdr:col>
          <xdr:colOff>2390775</xdr:colOff>
          <xdr:row>37</xdr:row>
          <xdr:rowOff>590550</xdr:rowOff>
        </xdr:to>
        <xdr:sp macro="" textlink="">
          <xdr:nvSpPr>
            <xdr:cNvPr id="8232" name="Option Button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38</xdr:row>
          <xdr:rowOff>19050</xdr:rowOff>
        </xdr:from>
        <xdr:to>
          <xdr:col>10</xdr:col>
          <xdr:colOff>2390775</xdr:colOff>
          <xdr:row>38</xdr:row>
          <xdr:rowOff>590550</xdr:rowOff>
        </xdr:to>
        <xdr:sp macro="" textlink="">
          <xdr:nvSpPr>
            <xdr:cNvPr id="8233" name="Option Button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39</xdr:row>
          <xdr:rowOff>19050</xdr:rowOff>
        </xdr:from>
        <xdr:to>
          <xdr:col>10</xdr:col>
          <xdr:colOff>2390775</xdr:colOff>
          <xdr:row>39</xdr:row>
          <xdr:rowOff>590550</xdr:rowOff>
        </xdr:to>
        <xdr:sp macro="" textlink="">
          <xdr:nvSpPr>
            <xdr:cNvPr id="8234" name="Option Button 42" hidden="1">
              <a:extLst>
                <a:ext uri="{63B3BB69-23CF-44E3-9099-C40C66FF867C}">
                  <a14:compatExt spid="_x0000_s8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40</xdr:row>
          <xdr:rowOff>9525</xdr:rowOff>
        </xdr:from>
        <xdr:to>
          <xdr:col>11</xdr:col>
          <xdr:colOff>0</xdr:colOff>
          <xdr:row>45</xdr:row>
          <xdr:rowOff>609600</xdr:rowOff>
        </xdr:to>
        <xdr:sp macro="" textlink="">
          <xdr:nvSpPr>
            <xdr:cNvPr id="8235" name="Group Box 43" hidden="1">
              <a:extLst>
                <a:ext uri="{63B3BB69-23CF-44E3-9099-C40C66FF867C}">
                  <a14:compatExt spid="_x0000_s8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40</xdr:row>
          <xdr:rowOff>19050</xdr:rowOff>
        </xdr:from>
        <xdr:to>
          <xdr:col>10</xdr:col>
          <xdr:colOff>2390775</xdr:colOff>
          <xdr:row>40</xdr:row>
          <xdr:rowOff>590550</xdr:rowOff>
        </xdr:to>
        <xdr:sp macro="" textlink="">
          <xdr:nvSpPr>
            <xdr:cNvPr id="8236" name="Option Button 44" hidden="1">
              <a:extLst>
                <a:ext uri="{63B3BB69-23CF-44E3-9099-C40C66FF867C}">
                  <a14:compatExt spid="_x0000_s8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41</xdr:row>
          <xdr:rowOff>19050</xdr:rowOff>
        </xdr:from>
        <xdr:to>
          <xdr:col>10</xdr:col>
          <xdr:colOff>2390775</xdr:colOff>
          <xdr:row>41</xdr:row>
          <xdr:rowOff>590550</xdr:rowOff>
        </xdr:to>
        <xdr:sp macro="" textlink="">
          <xdr:nvSpPr>
            <xdr:cNvPr id="8237" name="Option Button 45" hidden="1">
              <a:extLst>
                <a:ext uri="{63B3BB69-23CF-44E3-9099-C40C66FF867C}">
                  <a14:compatExt spid="_x0000_s8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42</xdr:row>
          <xdr:rowOff>19050</xdr:rowOff>
        </xdr:from>
        <xdr:to>
          <xdr:col>10</xdr:col>
          <xdr:colOff>2390775</xdr:colOff>
          <xdr:row>42</xdr:row>
          <xdr:rowOff>590550</xdr:rowOff>
        </xdr:to>
        <xdr:sp macro="" textlink="">
          <xdr:nvSpPr>
            <xdr:cNvPr id="8238" name="Option Button 46" hidden="1">
              <a:extLst>
                <a:ext uri="{63B3BB69-23CF-44E3-9099-C40C66FF867C}">
                  <a14:compatExt spid="_x0000_s8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43</xdr:row>
          <xdr:rowOff>19050</xdr:rowOff>
        </xdr:from>
        <xdr:to>
          <xdr:col>10</xdr:col>
          <xdr:colOff>2390775</xdr:colOff>
          <xdr:row>43</xdr:row>
          <xdr:rowOff>590550</xdr:rowOff>
        </xdr:to>
        <xdr:sp macro="" textlink="">
          <xdr:nvSpPr>
            <xdr:cNvPr id="8239" name="Option Button 47" hidden="1">
              <a:extLst>
                <a:ext uri="{63B3BB69-23CF-44E3-9099-C40C66FF867C}">
                  <a14:compatExt spid="_x0000_s8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44</xdr:row>
          <xdr:rowOff>19050</xdr:rowOff>
        </xdr:from>
        <xdr:to>
          <xdr:col>10</xdr:col>
          <xdr:colOff>2390775</xdr:colOff>
          <xdr:row>44</xdr:row>
          <xdr:rowOff>590550</xdr:rowOff>
        </xdr:to>
        <xdr:sp macro="" textlink="">
          <xdr:nvSpPr>
            <xdr:cNvPr id="8240" name="Option Button 48" hidden="1">
              <a:extLst>
                <a:ext uri="{63B3BB69-23CF-44E3-9099-C40C66FF867C}">
                  <a14:compatExt spid="_x0000_s8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45</xdr:row>
          <xdr:rowOff>19050</xdr:rowOff>
        </xdr:from>
        <xdr:to>
          <xdr:col>10</xdr:col>
          <xdr:colOff>2390775</xdr:colOff>
          <xdr:row>45</xdr:row>
          <xdr:rowOff>590550</xdr:rowOff>
        </xdr:to>
        <xdr:sp macro="" textlink="">
          <xdr:nvSpPr>
            <xdr:cNvPr id="8241" name="Option Button 49" hidden="1">
              <a:extLst>
                <a:ext uri="{63B3BB69-23CF-44E3-9099-C40C66FF867C}">
                  <a14:compatExt spid="_x0000_s8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47</xdr:row>
          <xdr:rowOff>9525</xdr:rowOff>
        </xdr:from>
        <xdr:to>
          <xdr:col>11</xdr:col>
          <xdr:colOff>0</xdr:colOff>
          <xdr:row>52</xdr:row>
          <xdr:rowOff>609600</xdr:rowOff>
        </xdr:to>
        <xdr:sp macro="" textlink="">
          <xdr:nvSpPr>
            <xdr:cNvPr id="8242" name="Group Box 50" hidden="1">
              <a:extLst>
                <a:ext uri="{63B3BB69-23CF-44E3-9099-C40C66FF867C}">
                  <a14:compatExt spid="_x0000_s8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47</xdr:row>
          <xdr:rowOff>19050</xdr:rowOff>
        </xdr:from>
        <xdr:to>
          <xdr:col>10</xdr:col>
          <xdr:colOff>2390775</xdr:colOff>
          <xdr:row>47</xdr:row>
          <xdr:rowOff>590550</xdr:rowOff>
        </xdr:to>
        <xdr:sp macro="" textlink="">
          <xdr:nvSpPr>
            <xdr:cNvPr id="8243" name="Option Butto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48</xdr:row>
          <xdr:rowOff>19050</xdr:rowOff>
        </xdr:from>
        <xdr:to>
          <xdr:col>10</xdr:col>
          <xdr:colOff>2390775</xdr:colOff>
          <xdr:row>48</xdr:row>
          <xdr:rowOff>590550</xdr:rowOff>
        </xdr:to>
        <xdr:sp macro="" textlink="">
          <xdr:nvSpPr>
            <xdr:cNvPr id="8244" name="Option Butto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49</xdr:row>
          <xdr:rowOff>19050</xdr:rowOff>
        </xdr:from>
        <xdr:to>
          <xdr:col>10</xdr:col>
          <xdr:colOff>2390775</xdr:colOff>
          <xdr:row>49</xdr:row>
          <xdr:rowOff>590550</xdr:rowOff>
        </xdr:to>
        <xdr:sp macro="" textlink="">
          <xdr:nvSpPr>
            <xdr:cNvPr id="8245" name="Option Button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50</xdr:row>
          <xdr:rowOff>19050</xdr:rowOff>
        </xdr:from>
        <xdr:to>
          <xdr:col>10</xdr:col>
          <xdr:colOff>2390775</xdr:colOff>
          <xdr:row>50</xdr:row>
          <xdr:rowOff>590550</xdr:rowOff>
        </xdr:to>
        <xdr:sp macro="" textlink="">
          <xdr:nvSpPr>
            <xdr:cNvPr id="8246" name="Option Button 54" hidden="1">
              <a:extLst>
                <a:ext uri="{63B3BB69-23CF-44E3-9099-C40C66FF867C}">
                  <a14:compatExt spid="_x0000_s8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51</xdr:row>
          <xdr:rowOff>19050</xdr:rowOff>
        </xdr:from>
        <xdr:to>
          <xdr:col>10</xdr:col>
          <xdr:colOff>2390775</xdr:colOff>
          <xdr:row>51</xdr:row>
          <xdr:rowOff>590550</xdr:rowOff>
        </xdr:to>
        <xdr:sp macro="" textlink="">
          <xdr:nvSpPr>
            <xdr:cNvPr id="8247" name="Option Button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52</xdr:row>
          <xdr:rowOff>19050</xdr:rowOff>
        </xdr:from>
        <xdr:to>
          <xdr:col>10</xdr:col>
          <xdr:colOff>2390775</xdr:colOff>
          <xdr:row>52</xdr:row>
          <xdr:rowOff>590550</xdr:rowOff>
        </xdr:to>
        <xdr:sp macro="" textlink="">
          <xdr:nvSpPr>
            <xdr:cNvPr id="8248" name="Option Button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53</xdr:row>
          <xdr:rowOff>9525</xdr:rowOff>
        </xdr:from>
        <xdr:to>
          <xdr:col>11</xdr:col>
          <xdr:colOff>0</xdr:colOff>
          <xdr:row>58</xdr:row>
          <xdr:rowOff>609600</xdr:rowOff>
        </xdr:to>
        <xdr:sp macro="" textlink="">
          <xdr:nvSpPr>
            <xdr:cNvPr id="8249" name="Group Box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53</xdr:row>
          <xdr:rowOff>19050</xdr:rowOff>
        </xdr:from>
        <xdr:to>
          <xdr:col>10</xdr:col>
          <xdr:colOff>2390775</xdr:colOff>
          <xdr:row>53</xdr:row>
          <xdr:rowOff>590550</xdr:rowOff>
        </xdr:to>
        <xdr:sp macro="" textlink="">
          <xdr:nvSpPr>
            <xdr:cNvPr id="8250" name="Option Button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54</xdr:row>
          <xdr:rowOff>19050</xdr:rowOff>
        </xdr:from>
        <xdr:to>
          <xdr:col>10</xdr:col>
          <xdr:colOff>2390775</xdr:colOff>
          <xdr:row>54</xdr:row>
          <xdr:rowOff>590550</xdr:rowOff>
        </xdr:to>
        <xdr:sp macro="" textlink="">
          <xdr:nvSpPr>
            <xdr:cNvPr id="8251" name="Option Button 59" hidden="1">
              <a:extLst>
                <a:ext uri="{63B3BB69-23CF-44E3-9099-C40C66FF867C}">
                  <a14:compatExt spid="_x0000_s8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55</xdr:row>
          <xdr:rowOff>19050</xdr:rowOff>
        </xdr:from>
        <xdr:to>
          <xdr:col>10</xdr:col>
          <xdr:colOff>2390775</xdr:colOff>
          <xdr:row>55</xdr:row>
          <xdr:rowOff>590550</xdr:rowOff>
        </xdr:to>
        <xdr:sp macro="" textlink="">
          <xdr:nvSpPr>
            <xdr:cNvPr id="8252" name="Option Button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56</xdr:row>
          <xdr:rowOff>19050</xdr:rowOff>
        </xdr:from>
        <xdr:to>
          <xdr:col>10</xdr:col>
          <xdr:colOff>2390775</xdr:colOff>
          <xdr:row>56</xdr:row>
          <xdr:rowOff>590550</xdr:rowOff>
        </xdr:to>
        <xdr:sp macro="" textlink="">
          <xdr:nvSpPr>
            <xdr:cNvPr id="8253" name="Option Button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57</xdr:row>
          <xdr:rowOff>19050</xdr:rowOff>
        </xdr:from>
        <xdr:to>
          <xdr:col>10</xdr:col>
          <xdr:colOff>2390775</xdr:colOff>
          <xdr:row>57</xdr:row>
          <xdr:rowOff>590550</xdr:rowOff>
        </xdr:to>
        <xdr:sp macro="" textlink="">
          <xdr:nvSpPr>
            <xdr:cNvPr id="8254" name="Option Butto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58</xdr:row>
          <xdr:rowOff>19050</xdr:rowOff>
        </xdr:from>
        <xdr:to>
          <xdr:col>10</xdr:col>
          <xdr:colOff>2390775</xdr:colOff>
          <xdr:row>58</xdr:row>
          <xdr:rowOff>590550</xdr:rowOff>
        </xdr:to>
        <xdr:sp macro="" textlink="">
          <xdr:nvSpPr>
            <xdr:cNvPr id="8255" name="Option Button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60</xdr:row>
          <xdr:rowOff>9525</xdr:rowOff>
        </xdr:from>
        <xdr:to>
          <xdr:col>11</xdr:col>
          <xdr:colOff>0</xdr:colOff>
          <xdr:row>65</xdr:row>
          <xdr:rowOff>609600</xdr:rowOff>
        </xdr:to>
        <xdr:sp macro="" textlink="">
          <xdr:nvSpPr>
            <xdr:cNvPr id="8256" name="Group Box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60</xdr:row>
          <xdr:rowOff>19050</xdr:rowOff>
        </xdr:from>
        <xdr:to>
          <xdr:col>10</xdr:col>
          <xdr:colOff>2390775</xdr:colOff>
          <xdr:row>60</xdr:row>
          <xdr:rowOff>590550</xdr:rowOff>
        </xdr:to>
        <xdr:sp macro="" textlink="">
          <xdr:nvSpPr>
            <xdr:cNvPr id="8257" name="Option Butto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61</xdr:row>
          <xdr:rowOff>19050</xdr:rowOff>
        </xdr:from>
        <xdr:to>
          <xdr:col>10</xdr:col>
          <xdr:colOff>2390775</xdr:colOff>
          <xdr:row>61</xdr:row>
          <xdr:rowOff>590550</xdr:rowOff>
        </xdr:to>
        <xdr:sp macro="" textlink="">
          <xdr:nvSpPr>
            <xdr:cNvPr id="8258" name="Option Button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62</xdr:row>
          <xdr:rowOff>19050</xdr:rowOff>
        </xdr:from>
        <xdr:to>
          <xdr:col>10</xdr:col>
          <xdr:colOff>2390775</xdr:colOff>
          <xdr:row>62</xdr:row>
          <xdr:rowOff>590550</xdr:rowOff>
        </xdr:to>
        <xdr:sp macro="" textlink="">
          <xdr:nvSpPr>
            <xdr:cNvPr id="8259" name="Option Button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63</xdr:row>
          <xdr:rowOff>19050</xdr:rowOff>
        </xdr:from>
        <xdr:to>
          <xdr:col>10</xdr:col>
          <xdr:colOff>2390775</xdr:colOff>
          <xdr:row>63</xdr:row>
          <xdr:rowOff>590550</xdr:rowOff>
        </xdr:to>
        <xdr:sp macro="" textlink="">
          <xdr:nvSpPr>
            <xdr:cNvPr id="8260" name="Option Button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64</xdr:row>
          <xdr:rowOff>19050</xdr:rowOff>
        </xdr:from>
        <xdr:to>
          <xdr:col>10</xdr:col>
          <xdr:colOff>2390775</xdr:colOff>
          <xdr:row>64</xdr:row>
          <xdr:rowOff>590550</xdr:rowOff>
        </xdr:to>
        <xdr:sp macro="" textlink="">
          <xdr:nvSpPr>
            <xdr:cNvPr id="8261" name="Option Button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65</xdr:row>
          <xdr:rowOff>19050</xdr:rowOff>
        </xdr:from>
        <xdr:to>
          <xdr:col>10</xdr:col>
          <xdr:colOff>2390775</xdr:colOff>
          <xdr:row>65</xdr:row>
          <xdr:rowOff>590550</xdr:rowOff>
        </xdr:to>
        <xdr:sp macro="" textlink="">
          <xdr:nvSpPr>
            <xdr:cNvPr id="8262" name="Option Button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1543050</xdr:colOff>
          <xdr:row>67</xdr:row>
          <xdr:rowOff>152400</xdr:rowOff>
        </xdr:from>
        <xdr:to>
          <xdr:col>9</xdr:col>
          <xdr:colOff>590550</xdr:colOff>
          <xdr:row>69</xdr:row>
          <xdr:rowOff>161925</xdr:rowOff>
        </xdr:to>
        <xdr:sp macro="" textlink="">
          <xdr:nvSpPr>
            <xdr:cNvPr id="8263" name="Button 71" descr="Завершить заполнение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Завершить заполнение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0</xdr:rowOff>
        </xdr:from>
        <xdr:to>
          <xdr:col>7</xdr:col>
          <xdr:colOff>9525</xdr:colOff>
          <xdr:row>9</xdr:row>
          <xdr:rowOff>57150</xdr:rowOff>
        </xdr:to>
        <xdr:sp macro="" textlink="">
          <xdr:nvSpPr>
            <xdr:cNvPr id="1026" name="Pupil_List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9525</xdr:rowOff>
        </xdr:from>
        <xdr:to>
          <xdr:col>7</xdr:col>
          <xdr:colOff>9525</xdr:colOff>
          <xdr:row>4</xdr:row>
          <xdr:rowOff>66675</xdr:rowOff>
        </xdr:to>
        <xdr:sp macro="" textlink="">
          <xdr:nvSpPr>
            <xdr:cNvPr id="1027" name="Group_List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11</xdr:row>
          <xdr:rowOff>0</xdr:rowOff>
        </xdr:from>
        <xdr:to>
          <xdr:col>6</xdr:col>
          <xdr:colOff>600075</xdr:colOff>
          <xdr:row>13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тест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15</xdr:row>
          <xdr:rowOff>0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Закрыть модуль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123825</xdr:rowOff>
        </xdr:from>
        <xdr:to>
          <xdr:col>5</xdr:col>
          <xdr:colOff>266700</xdr:colOff>
          <xdr:row>19</xdr:row>
          <xdr:rowOff>133350</xdr:rowOff>
        </xdr:to>
        <xdr:sp macro="" textlink="">
          <xdr:nvSpPr>
            <xdr:cNvPr id="7169" name="TestRanges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352425</xdr:colOff>
          <xdr:row>10</xdr:row>
          <xdr:rowOff>66675</xdr:rowOff>
        </xdr:from>
        <xdr:to>
          <xdr:col>5</xdr:col>
          <xdr:colOff>28575</xdr:colOff>
          <xdr:row>12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Завершить тест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523875</xdr:colOff>
          <xdr:row>14</xdr:row>
          <xdr:rowOff>85725</xdr:rowOff>
        </xdr:from>
        <xdr:to>
          <xdr:col>11</xdr:col>
          <xdr:colOff>123825</xdr:colOff>
          <xdr:row>19</xdr:row>
          <xdr:rowOff>95250</xdr:rowOff>
        </xdr:to>
        <xdr:sp macro="" textlink="">
          <xdr:nvSpPr>
            <xdr:cNvPr id="7171" name="CommandButton1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74" Type="http://schemas.openxmlformats.org/officeDocument/2006/relationships/ctrlProp" Target="../ctrlProps/ctrlProp71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7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L66"/>
  <sheetViews>
    <sheetView showGridLines="0" topLeftCell="A16" workbookViewId="0">
      <selection activeCell="L35" sqref="L35"/>
    </sheetView>
  </sheetViews>
  <sheetFormatPr defaultRowHeight="15" x14ac:dyDescent="0.25"/>
  <cols>
    <col min="1" max="1" width="28.7109375" customWidth="1"/>
    <col min="2" max="2" width="5.28515625" style="14" customWidth="1"/>
    <col min="3" max="3" width="23.42578125" style="15" customWidth="1"/>
    <col min="4" max="4" width="9.140625" hidden="1" customWidth="1"/>
    <col min="11" max="11" width="36.42578125" customWidth="1"/>
    <col min="12" max="12" width="0.140625" style="24" customWidth="1"/>
  </cols>
  <sheetData>
    <row r="1" spans="2:12" ht="62.25" customHeight="1" x14ac:dyDescent="0.25">
      <c r="B1" s="32" t="s">
        <v>2</v>
      </c>
      <c r="C1" s="32"/>
      <c r="D1" s="32"/>
      <c r="E1" s="32"/>
      <c r="F1" s="32"/>
      <c r="G1" s="32"/>
      <c r="H1" s="32"/>
      <c r="I1" s="32"/>
      <c r="J1" s="32"/>
      <c r="K1" s="32"/>
    </row>
    <row r="2" spans="2:12" x14ac:dyDescent="0.25">
      <c r="B2" s="7" t="s">
        <v>3</v>
      </c>
      <c r="C2" s="8" t="s">
        <v>4</v>
      </c>
      <c r="D2" s="9" t="s">
        <v>5</v>
      </c>
      <c r="E2" s="33" t="s">
        <v>6</v>
      </c>
      <c r="F2" s="33"/>
      <c r="G2" s="33"/>
      <c r="H2" s="33"/>
      <c r="I2" s="33"/>
      <c r="J2" s="33"/>
      <c r="K2" s="33"/>
    </row>
    <row r="3" spans="2:12" x14ac:dyDescent="0.25">
      <c r="B3" s="10" t="s">
        <v>7</v>
      </c>
      <c r="C3" s="31" t="s">
        <v>8</v>
      </c>
      <c r="D3" s="31"/>
      <c r="E3" s="31"/>
      <c r="F3" s="31"/>
      <c r="G3" s="31"/>
      <c r="H3" s="31"/>
      <c r="I3" s="31"/>
      <c r="J3" s="31"/>
      <c r="K3" s="31"/>
    </row>
    <row r="4" spans="2:12" ht="50.1" customHeight="1" x14ac:dyDescent="0.25">
      <c r="B4" s="26" t="s">
        <v>9</v>
      </c>
      <c r="C4" s="27" t="s">
        <v>10</v>
      </c>
      <c r="D4" s="11">
        <v>0</v>
      </c>
      <c r="E4" s="28" t="s">
        <v>11</v>
      </c>
      <c r="F4" s="29"/>
      <c r="G4" s="29"/>
      <c r="H4" s="29"/>
      <c r="I4" s="29"/>
      <c r="J4" s="29"/>
      <c r="K4" s="30"/>
      <c r="L4" s="24">
        <v>1</v>
      </c>
    </row>
    <row r="5" spans="2:12" ht="50.1" customHeight="1" x14ac:dyDescent="0.25">
      <c r="B5" s="26"/>
      <c r="C5" s="27"/>
      <c r="D5" s="11">
        <v>1</v>
      </c>
      <c r="E5" s="28" t="s">
        <v>12</v>
      </c>
      <c r="F5" s="29"/>
      <c r="G5" s="29"/>
      <c r="H5" s="29"/>
      <c r="I5" s="29"/>
      <c r="J5" s="29"/>
      <c r="K5" s="30"/>
    </row>
    <row r="6" spans="2:12" ht="50.1" customHeight="1" x14ac:dyDescent="0.25">
      <c r="B6" s="26"/>
      <c r="C6" s="27"/>
      <c r="D6" s="11">
        <v>2</v>
      </c>
      <c r="E6" s="28" t="s">
        <v>13</v>
      </c>
      <c r="F6" s="29"/>
      <c r="G6" s="29"/>
      <c r="H6" s="29"/>
      <c r="I6" s="29"/>
      <c r="J6" s="29"/>
      <c r="K6" s="30"/>
    </row>
    <row r="7" spans="2:12" ht="50.1" customHeight="1" x14ac:dyDescent="0.25">
      <c r="B7" s="26"/>
      <c r="C7" s="27"/>
      <c r="D7" s="11">
        <v>3</v>
      </c>
      <c r="E7" s="28" t="s">
        <v>14</v>
      </c>
      <c r="F7" s="29"/>
      <c r="G7" s="29"/>
      <c r="H7" s="29"/>
      <c r="I7" s="29"/>
      <c r="J7" s="29"/>
      <c r="K7" s="30"/>
    </row>
    <row r="8" spans="2:12" ht="50.1" customHeight="1" x14ac:dyDescent="0.25">
      <c r="B8" s="26"/>
      <c r="C8" s="27"/>
      <c r="D8" s="11">
        <v>4</v>
      </c>
      <c r="E8" s="28" t="s">
        <v>15</v>
      </c>
      <c r="F8" s="29"/>
      <c r="G8" s="29"/>
      <c r="H8" s="29"/>
      <c r="I8" s="29"/>
      <c r="J8" s="29"/>
      <c r="K8" s="30"/>
    </row>
    <row r="9" spans="2:12" ht="50.1" customHeight="1" x14ac:dyDescent="0.25">
      <c r="B9" s="26"/>
      <c r="C9" s="27"/>
      <c r="D9" s="12">
        <v>5</v>
      </c>
      <c r="E9" s="28" t="s">
        <v>16</v>
      </c>
      <c r="F9" s="29"/>
      <c r="G9" s="29"/>
      <c r="H9" s="29"/>
      <c r="I9" s="29"/>
      <c r="J9" s="29"/>
      <c r="K9" s="30"/>
    </row>
    <row r="10" spans="2:12" ht="50.1" customHeight="1" x14ac:dyDescent="0.25">
      <c r="B10" s="26" t="s">
        <v>17</v>
      </c>
      <c r="C10" s="27" t="s">
        <v>18</v>
      </c>
      <c r="D10" s="11">
        <v>0</v>
      </c>
      <c r="E10" s="28" t="s">
        <v>19</v>
      </c>
      <c r="F10" s="29"/>
      <c r="G10" s="29"/>
      <c r="H10" s="29"/>
      <c r="I10" s="29"/>
      <c r="J10" s="29"/>
      <c r="K10" s="30"/>
      <c r="L10" s="24">
        <v>1</v>
      </c>
    </row>
    <row r="11" spans="2:12" ht="50.1" customHeight="1" x14ac:dyDescent="0.25">
      <c r="B11" s="26"/>
      <c r="C11" s="27"/>
      <c r="D11" s="11">
        <v>1</v>
      </c>
      <c r="E11" s="28" t="s">
        <v>20</v>
      </c>
      <c r="F11" s="29"/>
      <c r="G11" s="29"/>
      <c r="H11" s="29"/>
      <c r="I11" s="29"/>
      <c r="J11" s="29"/>
      <c r="K11" s="30"/>
    </row>
    <row r="12" spans="2:12" ht="50.1" customHeight="1" x14ac:dyDescent="0.25">
      <c r="B12" s="26"/>
      <c r="C12" s="27"/>
      <c r="D12" s="11">
        <v>2</v>
      </c>
      <c r="E12" s="28" t="s">
        <v>21</v>
      </c>
      <c r="F12" s="29"/>
      <c r="G12" s="29"/>
      <c r="H12" s="29"/>
      <c r="I12" s="29"/>
      <c r="J12" s="29"/>
      <c r="K12" s="30"/>
    </row>
    <row r="13" spans="2:12" ht="50.1" customHeight="1" x14ac:dyDescent="0.25">
      <c r="B13" s="26"/>
      <c r="C13" s="27"/>
      <c r="D13" s="11">
        <v>3</v>
      </c>
      <c r="E13" s="28" t="s">
        <v>22</v>
      </c>
      <c r="F13" s="29"/>
      <c r="G13" s="29"/>
      <c r="H13" s="29"/>
      <c r="I13" s="29"/>
      <c r="J13" s="29"/>
      <c r="K13" s="30"/>
    </row>
    <row r="14" spans="2:12" ht="50.1" customHeight="1" x14ac:dyDescent="0.25">
      <c r="B14" s="26"/>
      <c r="C14" s="27"/>
      <c r="D14" s="11">
        <v>4</v>
      </c>
      <c r="E14" s="28" t="s">
        <v>23</v>
      </c>
      <c r="F14" s="29"/>
      <c r="G14" s="29"/>
      <c r="H14" s="29"/>
      <c r="I14" s="29"/>
      <c r="J14" s="29"/>
      <c r="K14" s="30"/>
    </row>
    <row r="15" spans="2:12" ht="50.1" customHeight="1" x14ac:dyDescent="0.25">
      <c r="B15" s="26"/>
      <c r="C15" s="27"/>
      <c r="D15" s="12">
        <v>5</v>
      </c>
      <c r="E15" s="28" t="s">
        <v>24</v>
      </c>
      <c r="F15" s="29"/>
      <c r="G15" s="29"/>
      <c r="H15" s="29"/>
      <c r="I15" s="29"/>
      <c r="J15" s="29"/>
      <c r="K15" s="30"/>
    </row>
    <row r="16" spans="2:12" ht="50.1" customHeight="1" x14ac:dyDescent="0.25">
      <c r="B16" s="26" t="s">
        <v>25</v>
      </c>
      <c r="C16" s="27" t="s">
        <v>26</v>
      </c>
      <c r="D16" s="11">
        <v>0</v>
      </c>
      <c r="E16" s="28" t="s">
        <v>27</v>
      </c>
      <c r="F16" s="29"/>
      <c r="G16" s="29"/>
      <c r="H16" s="29"/>
      <c r="I16" s="29"/>
      <c r="J16" s="29"/>
      <c r="K16" s="30"/>
      <c r="L16" s="24">
        <v>1</v>
      </c>
    </row>
    <row r="17" spans="2:12" ht="50.1" customHeight="1" x14ac:dyDescent="0.25">
      <c r="B17" s="26"/>
      <c r="C17" s="27"/>
      <c r="D17" s="11">
        <v>1</v>
      </c>
      <c r="E17" s="28" t="s">
        <v>28</v>
      </c>
      <c r="F17" s="29"/>
      <c r="G17" s="29"/>
      <c r="H17" s="29"/>
      <c r="I17" s="29"/>
      <c r="J17" s="29"/>
      <c r="K17" s="30"/>
    </row>
    <row r="18" spans="2:12" ht="50.1" customHeight="1" x14ac:dyDescent="0.25">
      <c r="B18" s="26"/>
      <c r="C18" s="27"/>
      <c r="D18" s="11">
        <v>2</v>
      </c>
      <c r="E18" s="28" t="s">
        <v>29</v>
      </c>
      <c r="F18" s="29"/>
      <c r="G18" s="29"/>
      <c r="H18" s="29"/>
      <c r="I18" s="29"/>
      <c r="J18" s="29"/>
      <c r="K18" s="30"/>
    </row>
    <row r="19" spans="2:12" ht="50.1" customHeight="1" x14ac:dyDescent="0.25">
      <c r="B19" s="26"/>
      <c r="C19" s="27"/>
      <c r="D19" s="11">
        <v>3</v>
      </c>
      <c r="E19" s="28" t="s">
        <v>30</v>
      </c>
      <c r="F19" s="29"/>
      <c r="G19" s="29"/>
      <c r="H19" s="29"/>
      <c r="I19" s="29"/>
      <c r="J19" s="29"/>
      <c r="K19" s="30"/>
    </row>
    <row r="20" spans="2:12" ht="50.1" customHeight="1" x14ac:dyDescent="0.25">
      <c r="B20" s="26"/>
      <c r="C20" s="27"/>
      <c r="D20" s="11">
        <v>4</v>
      </c>
      <c r="E20" s="28" t="s">
        <v>31</v>
      </c>
      <c r="F20" s="29"/>
      <c r="G20" s="29"/>
      <c r="H20" s="29"/>
      <c r="I20" s="29"/>
      <c r="J20" s="29"/>
      <c r="K20" s="30"/>
    </row>
    <row r="21" spans="2:12" ht="50.1" customHeight="1" x14ac:dyDescent="0.25">
      <c r="B21" s="26"/>
      <c r="C21" s="27"/>
      <c r="D21" s="12">
        <v>5</v>
      </c>
      <c r="E21" s="28" t="s">
        <v>32</v>
      </c>
      <c r="F21" s="29"/>
      <c r="G21" s="29"/>
      <c r="H21" s="29"/>
      <c r="I21" s="29"/>
      <c r="J21" s="29"/>
      <c r="K21" s="30"/>
    </row>
    <row r="22" spans="2:12" ht="50.1" customHeight="1" x14ac:dyDescent="0.25">
      <c r="B22" s="26" t="s">
        <v>33</v>
      </c>
      <c r="C22" s="27" t="s">
        <v>34</v>
      </c>
      <c r="D22" s="11">
        <v>0</v>
      </c>
      <c r="E22" s="28" t="s">
        <v>35</v>
      </c>
      <c r="F22" s="29"/>
      <c r="G22" s="29"/>
      <c r="H22" s="29"/>
      <c r="I22" s="29"/>
      <c r="J22" s="29"/>
      <c r="K22" s="30"/>
      <c r="L22" s="24">
        <v>1</v>
      </c>
    </row>
    <row r="23" spans="2:12" ht="50.1" customHeight="1" x14ac:dyDescent="0.25">
      <c r="B23" s="26"/>
      <c r="C23" s="27"/>
      <c r="D23" s="11">
        <v>1</v>
      </c>
      <c r="E23" s="28" t="s">
        <v>36</v>
      </c>
      <c r="F23" s="29"/>
      <c r="G23" s="29"/>
      <c r="H23" s="29"/>
      <c r="I23" s="29"/>
      <c r="J23" s="29"/>
      <c r="K23" s="30"/>
    </row>
    <row r="24" spans="2:12" ht="50.1" customHeight="1" x14ac:dyDescent="0.25">
      <c r="B24" s="26"/>
      <c r="C24" s="27"/>
      <c r="D24" s="11">
        <v>2</v>
      </c>
      <c r="E24" s="28" t="s">
        <v>37</v>
      </c>
      <c r="F24" s="29"/>
      <c r="G24" s="29"/>
      <c r="H24" s="29"/>
      <c r="I24" s="29"/>
      <c r="J24" s="29"/>
      <c r="K24" s="30"/>
    </row>
    <row r="25" spans="2:12" ht="50.1" customHeight="1" x14ac:dyDescent="0.25">
      <c r="B25" s="26"/>
      <c r="C25" s="27"/>
      <c r="D25" s="11">
        <v>3</v>
      </c>
      <c r="E25" s="28" t="s">
        <v>38</v>
      </c>
      <c r="F25" s="29"/>
      <c r="G25" s="29"/>
      <c r="H25" s="29"/>
      <c r="I25" s="29"/>
      <c r="J25" s="29"/>
      <c r="K25" s="30"/>
    </row>
    <row r="26" spans="2:12" ht="50.1" customHeight="1" x14ac:dyDescent="0.25">
      <c r="B26" s="26"/>
      <c r="C26" s="27"/>
      <c r="D26" s="11">
        <v>4</v>
      </c>
      <c r="E26" s="28" t="s">
        <v>39</v>
      </c>
      <c r="F26" s="29"/>
      <c r="G26" s="29"/>
      <c r="H26" s="29"/>
      <c r="I26" s="29"/>
      <c r="J26" s="29"/>
      <c r="K26" s="30"/>
    </row>
    <row r="27" spans="2:12" ht="50.1" customHeight="1" x14ac:dyDescent="0.25">
      <c r="B27" s="26"/>
      <c r="C27" s="27"/>
      <c r="D27" s="12">
        <v>5</v>
      </c>
      <c r="E27" s="28" t="s">
        <v>40</v>
      </c>
      <c r="F27" s="29"/>
      <c r="G27" s="29"/>
      <c r="H27" s="29"/>
      <c r="I27" s="29"/>
      <c r="J27" s="29"/>
      <c r="K27" s="30"/>
    </row>
    <row r="28" spans="2:12" x14ac:dyDescent="0.25">
      <c r="B28" s="7" t="s">
        <v>41</v>
      </c>
      <c r="C28" s="31" t="s">
        <v>42</v>
      </c>
      <c r="D28" s="31"/>
      <c r="E28" s="31"/>
      <c r="F28" s="31"/>
      <c r="G28" s="31"/>
      <c r="H28" s="31"/>
      <c r="I28" s="31"/>
      <c r="J28" s="31"/>
      <c r="K28" s="31"/>
    </row>
    <row r="29" spans="2:12" ht="50.1" customHeight="1" x14ac:dyDescent="0.25">
      <c r="B29" s="26" t="s">
        <v>43</v>
      </c>
      <c r="C29" s="27" t="s">
        <v>44</v>
      </c>
      <c r="D29" s="11">
        <v>0</v>
      </c>
      <c r="E29" s="28" t="s">
        <v>45</v>
      </c>
      <c r="F29" s="29"/>
      <c r="G29" s="29"/>
      <c r="H29" s="29"/>
      <c r="I29" s="29"/>
      <c r="J29" s="29"/>
      <c r="K29" s="30"/>
      <c r="L29" s="24">
        <v>1</v>
      </c>
    </row>
    <row r="30" spans="2:12" ht="50.1" customHeight="1" x14ac:dyDescent="0.25">
      <c r="B30" s="26"/>
      <c r="C30" s="27"/>
      <c r="D30" s="11">
        <v>1</v>
      </c>
      <c r="E30" s="28" t="s">
        <v>46</v>
      </c>
      <c r="F30" s="29"/>
      <c r="G30" s="29"/>
      <c r="H30" s="29"/>
      <c r="I30" s="29"/>
      <c r="J30" s="29"/>
      <c r="K30" s="30"/>
    </row>
    <row r="31" spans="2:12" ht="50.1" customHeight="1" x14ac:dyDescent="0.25">
      <c r="B31" s="26"/>
      <c r="C31" s="27"/>
      <c r="D31" s="11">
        <v>2</v>
      </c>
      <c r="E31" s="28" t="s">
        <v>47</v>
      </c>
      <c r="F31" s="29"/>
      <c r="G31" s="29"/>
      <c r="H31" s="29"/>
      <c r="I31" s="29"/>
      <c r="J31" s="29"/>
      <c r="K31" s="30"/>
    </row>
    <row r="32" spans="2:12" ht="50.1" customHeight="1" x14ac:dyDescent="0.25">
      <c r="B32" s="26"/>
      <c r="C32" s="27"/>
      <c r="D32" s="11">
        <v>3</v>
      </c>
      <c r="E32" s="28" t="s">
        <v>48</v>
      </c>
      <c r="F32" s="29"/>
      <c r="G32" s="29"/>
      <c r="H32" s="29"/>
      <c r="I32" s="29"/>
      <c r="J32" s="29"/>
      <c r="K32" s="30"/>
    </row>
    <row r="33" spans="2:12" ht="50.1" customHeight="1" x14ac:dyDescent="0.25">
      <c r="B33" s="26"/>
      <c r="C33" s="27"/>
      <c r="D33" s="11">
        <v>4</v>
      </c>
      <c r="E33" s="28" t="s">
        <v>49</v>
      </c>
      <c r="F33" s="29"/>
      <c r="G33" s="29"/>
      <c r="H33" s="29"/>
      <c r="I33" s="29"/>
      <c r="J33" s="29"/>
      <c r="K33" s="30"/>
    </row>
    <row r="34" spans="2:12" ht="50.1" customHeight="1" x14ac:dyDescent="0.25">
      <c r="B34" s="26"/>
      <c r="C34" s="27"/>
      <c r="D34" s="12">
        <v>5</v>
      </c>
      <c r="E34" s="28" t="s">
        <v>50</v>
      </c>
      <c r="F34" s="29"/>
      <c r="G34" s="29"/>
      <c r="H34" s="29"/>
      <c r="I34" s="29"/>
      <c r="J34" s="29"/>
      <c r="K34" s="30"/>
    </row>
    <row r="35" spans="2:12" ht="50.1" customHeight="1" x14ac:dyDescent="0.25">
      <c r="B35" s="26" t="s">
        <v>51</v>
      </c>
      <c r="C35" s="27" t="s">
        <v>52</v>
      </c>
      <c r="D35" s="11">
        <v>0</v>
      </c>
      <c r="E35" s="28" t="s">
        <v>53</v>
      </c>
      <c r="F35" s="29"/>
      <c r="G35" s="29"/>
      <c r="H35" s="29"/>
      <c r="I35" s="29"/>
      <c r="J35" s="29"/>
      <c r="K35" s="30"/>
      <c r="L35" s="24">
        <v>1</v>
      </c>
    </row>
    <row r="36" spans="2:12" ht="50.1" customHeight="1" x14ac:dyDescent="0.25">
      <c r="B36" s="26"/>
      <c r="C36" s="27"/>
      <c r="D36" s="11">
        <v>1</v>
      </c>
      <c r="E36" s="28" t="s">
        <v>54</v>
      </c>
      <c r="F36" s="29"/>
      <c r="G36" s="29"/>
      <c r="H36" s="29"/>
      <c r="I36" s="29"/>
      <c r="J36" s="29"/>
      <c r="K36" s="30"/>
    </row>
    <row r="37" spans="2:12" ht="50.1" customHeight="1" x14ac:dyDescent="0.25">
      <c r="B37" s="26"/>
      <c r="C37" s="27"/>
      <c r="D37" s="11">
        <v>2</v>
      </c>
      <c r="E37" s="28" t="s">
        <v>55</v>
      </c>
      <c r="F37" s="29"/>
      <c r="G37" s="29"/>
      <c r="H37" s="29"/>
      <c r="I37" s="29"/>
      <c r="J37" s="29"/>
      <c r="K37" s="30"/>
    </row>
    <row r="38" spans="2:12" ht="50.1" customHeight="1" x14ac:dyDescent="0.25">
      <c r="B38" s="26"/>
      <c r="C38" s="27"/>
      <c r="D38" s="11">
        <v>3</v>
      </c>
      <c r="E38" s="28" t="s">
        <v>56</v>
      </c>
      <c r="F38" s="29"/>
      <c r="G38" s="29"/>
      <c r="H38" s="29"/>
      <c r="I38" s="29"/>
      <c r="J38" s="29"/>
      <c r="K38" s="30"/>
    </row>
    <row r="39" spans="2:12" ht="50.1" customHeight="1" x14ac:dyDescent="0.25">
      <c r="B39" s="26"/>
      <c r="C39" s="27"/>
      <c r="D39" s="11">
        <v>4</v>
      </c>
      <c r="E39" s="28" t="s">
        <v>57</v>
      </c>
      <c r="F39" s="29"/>
      <c r="G39" s="29"/>
      <c r="H39" s="29"/>
      <c r="I39" s="29"/>
      <c r="J39" s="29"/>
      <c r="K39" s="30"/>
    </row>
    <row r="40" spans="2:12" ht="50.1" customHeight="1" x14ac:dyDescent="0.25">
      <c r="B40" s="26"/>
      <c r="C40" s="27"/>
      <c r="D40" s="12">
        <v>5</v>
      </c>
      <c r="E40" s="28" t="s">
        <v>58</v>
      </c>
      <c r="F40" s="29"/>
      <c r="G40" s="29"/>
      <c r="H40" s="29"/>
      <c r="I40" s="29"/>
      <c r="J40" s="29"/>
      <c r="K40" s="30"/>
    </row>
    <row r="41" spans="2:12" ht="50.1" customHeight="1" x14ac:dyDescent="0.25">
      <c r="B41" s="26" t="s">
        <v>59</v>
      </c>
      <c r="C41" s="27" t="s">
        <v>60</v>
      </c>
      <c r="D41" s="11">
        <v>0</v>
      </c>
      <c r="E41" s="28" t="s">
        <v>61</v>
      </c>
      <c r="F41" s="29"/>
      <c r="G41" s="29"/>
      <c r="H41" s="29"/>
      <c r="I41" s="29"/>
      <c r="J41" s="29"/>
      <c r="K41" s="30"/>
      <c r="L41" s="24">
        <v>1</v>
      </c>
    </row>
    <row r="42" spans="2:12" ht="50.1" customHeight="1" x14ac:dyDescent="0.25">
      <c r="B42" s="26"/>
      <c r="C42" s="27"/>
      <c r="D42" s="11">
        <v>1</v>
      </c>
      <c r="E42" s="28" t="s">
        <v>62</v>
      </c>
      <c r="F42" s="29"/>
      <c r="G42" s="29"/>
      <c r="H42" s="29"/>
      <c r="I42" s="29"/>
      <c r="J42" s="29"/>
      <c r="K42" s="30"/>
    </row>
    <row r="43" spans="2:12" ht="50.1" customHeight="1" x14ac:dyDescent="0.25">
      <c r="B43" s="26"/>
      <c r="C43" s="27"/>
      <c r="D43" s="11">
        <v>2</v>
      </c>
      <c r="E43" s="28" t="s">
        <v>63</v>
      </c>
      <c r="F43" s="29"/>
      <c r="G43" s="29"/>
      <c r="H43" s="29"/>
      <c r="I43" s="29"/>
      <c r="J43" s="29"/>
      <c r="K43" s="30"/>
    </row>
    <row r="44" spans="2:12" ht="50.1" customHeight="1" x14ac:dyDescent="0.25">
      <c r="B44" s="26"/>
      <c r="C44" s="27"/>
      <c r="D44" s="11">
        <v>3</v>
      </c>
      <c r="E44" s="28" t="s">
        <v>64</v>
      </c>
      <c r="F44" s="29"/>
      <c r="G44" s="29"/>
      <c r="H44" s="29"/>
      <c r="I44" s="29"/>
      <c r="J44" s="29"/>
      <c r="K44" s="30"/>
    </row>
    <row r="45" spans="2:12" ht="50.1" customHeight="1" x14ac:dyDescent="0.25">
      <c r="B45" s="26"/>
      <c r="C45" s="27"/>
      <c r="D45" s="11">
        <v>4</v>
      </c>
      <c r="E45" s="28" t="s">
        <v>65</v>
      </c>
      <c r="F45" s="29"/>
      <c r="G45" s="29"/>
      <c r="H45" s="29"/>
      <c r="I45" s="29"/>
      <c r="J45" s="29"/>
      <c r="K45" s="30"/>
    </row>
    <row r="46" spans="2:12" ht="50.1" customHeight="1" x14ac:dyDescent="0.25">
      <c r="B46" s="26"/>
      <c r="C46" s="27"/>
      <c r="D46" s="12">
        <v>5</v>
      </c>
      <c r="E46" s="28" t="s">
        <v>66</v>
      </c>
      <c r="F46" s="29"/>
      <c r="G46" s="29"/>
      <c r="H46" s="29"/>
      <c r="I46" s="29"/>
      <c r="J46" s="29"/>
      <c r="K46" s="30"/>
    </row>
    <row r="47" spans="2:12" x14ac:dyDescent="0.25">
      <c r="B47" s="7" t="s">
        <v>67</v>
      </c>
      <c r="C47" s="31" t="s">
        <v>68</v>
      </c>
      <c r="D47" s="31"/>
      <c r="E47" s="31"/>
      <c r="F47" s="31"/>
      <c r="G47" s="31"/>
      <c r="H47" s="31"/>
      <c r="I47" s="31"/>
      <c r="J47" s="31"/>
      <c r="K47" s="31"/>
    </row>
    <row r="48" spans="2:12" ht="50.1" customHeight="1" x14ac:dyDescent="0.25">
      <c r="B48" s="26" t="s">
        <v>69</v>
      </c>
      <c r="C48" s="27" t="s">
        <v>70</v>
      </c>
      <c r="D48" s="11">
        <v>0</v>
      </c>
      <c r="E48" s="28" t="s">
        <v>71</v>
      </c>
      <c r="F48" s="29"/>
      <c r="G48" s="29"/>
      <c r="H48" s="29"/>
      <c r="I48" s="29"/>
      <c r="J48" s="29"/>
      <c r="K48" s="30"/>
      <c r="L48" s="24">
        <v>1</v>
      </c>
    </row>
    <row r="49" spans="2:12" ht="50.1" customHeight="1" x14ac:dyDescent="0.25">
      <c r="B49" s="26"/>
      <c r="C49" s="27"/>
      <c r="D49" s="11">
        <v>1</v>
      </c>
      <c r="E49" s="28" t="s">
        <v>72</v>
      </c>
      <c r="F49" s="29"/>
      <c r="G49" s="29"/>
      <c r="H49" s="29"/>
      <c r="I49" s="29"/>
      <c r="J49" s="29"/>
      <c r="K49" s="30"/>
    </row>
    <row r="50" spans="2:12" ht="50.1" customHeight="1" x14ac:dyDescent="0.25">
      <c r="B50" s="26"/>
      <c r="C50" s="27"/>
      <c r="D50" s="11">
        <v>2</v>
      </c>
      <c r="E50" s="28" t="s">
        <v>73</v>
      </c>
      <c r="F50" s="29"/>
      <c r="G50" s="29"/>
      <c r="H50" s="29"/>
      <c r="I50" s="29"/>
      <c r="J50" s="29"/>
      <c r="K50" s="30"/>
    </row>
    <row r="51" spans="2:12" ht="50.1" customHeight="1" x14ac:dyDescent="0.25">
      <c r="B51" s="26"/>
      <c r="C51" s="27"/>
      <c r="D51" s="11">
        <v>3</v>
      </c>
      <c r="E51" s="28" t="s">
        <v>74</v>
      </c>
      <c r="F51" s="29"/>
      <c r="G51" s="29"/>
      <c r="H51" s="29"/>
      <c r="I51" s="29"/>
      <c r="J51" s="29"/>
      <c r="K51" s="30"/>
    </row>
    <row r="52" spans="2:12" ht="50.1" customHeight="1" x14ac:dyDescent="0.25">
      <c r="B52" s="26"/>
      <c r="C52" s="27"/>
      <c r="D52" s="11">
        <v>4</v>
      </c>
      <c r="E52" s="28" t="s">
        <v>75</v>
      </c>
      <c r="F52" s="29"/>
      <c r="G52" s="29"/>
      <c r="H52" s="29"/>
      <c r="I52" s="29"/>
      <c r="J52" s="29"/>
      <c r="K52" s="30"/>
    </row>
    <row r="53" spans="2:12" ht="50.1" customHeight="1" x14ac:dyDescent="0.25">
      <c r="B53" s="26"/>
      <c r="C53" s="27"/>
      <c r="D53" s="12">
        <v>5</v>
      </c>
      <c r="E53" s="28" t="s">
        <v>76</v>
      </c>
      <c r="F53" s="29"/>
      <c r="G53" s="29"/>
      <c r="H53" s="29"/>
      <c r="I53" s="29"/>
      <c r="J53" s="29"/>
      <c r="K53" s="30"/>
    </row>
    <row r="54" spans="2:12" ht="50.1" customHeight="1" x14ac:dyDescent="0.25">
      <c r="B54" s="26" t="s">
        <v>77</v>
      </c>
      <c r="C54" s="27" t="s">
        <v>78</v>
      </c>
      <c r="D54" s="11">
        <v>0</v>
      </c>
      <c r="E54" s="28" t="s">
        <v>79</v>
      </c>
      <c r="F54" s="29"/>
      <c r="G54" s="29"/>
      <c r="H54" s="29"/>
      <c r="I54" s="29"/>
      <c r="J54" s="29"/>
      <c r="K54" s="30"/>
      <c r="L54" s="24">
        <v>1</v>
      </c>
    </row>
    <row r="55" spans="2:12" ht="50.1" customHeight="1" x14ac:dyDescent="0.25">
      <c r="B55" s="26"/>
      <c r="C55" s="27"/>
      <c r="D55" s="11">
        <v>1</v>
      </c>
      <c r="E55" s="28" t="s">
        <v>80</v>
      </c>
      <c r="F55" s="29"/>
      <c r="G55" s="29"/>
      <c r="H55" s="29"/>
      <c r="I55" s="29"/>
      <c r="J55" s="29"/>
      <c r="K55" s="30"/>
    </row>
    <row r="56" spans="2:12" ht="50.1" customHeight="1" x14ac:dyDescent="0.25">
      <c r="B56" s="26"/>
      <c r="C56" s="27"/>
      <c r="D56" s="11">
        <v>2</v>
      </c>
      <c r="E56" s="28" t="s">
        <v>81</v>
      </c>
      <c r="F56" s="29"/>
      <c r="G56" s="29"/>
      <c r="H56" s="29"/>
      <c r="I56" s="29"/>
      <c r="J56" s="29"/>
      <c r="K56" s="30"/>
    </row>
    <row r="57" spans="2:12" ht="50.1" customHeight="1" x14ac:dyDescent="0.25">
      <c r="B57" s="26"/>
      <c r="C57" s="27"/>
      <c r="D57" s="11">
        <v>3</v>
      </c>
      <c r="E57" s="28" t="s">
        <v>82</v>
      </c>
      <c r="F57" s="29"/>
      <c r="G57" s="29"/>
      <c r="H57" s="29"/>
      <c r="I57" s="29"/>
      <c r="J57" s="29"/>
      <c r="K57" s="30"/>
    </row>
    <row r="58" spans="2:12" ht="50.1" customHeight="1" x14ac:dyDescent="0.25">
      <c r="B58" s="26"/>
      <c r="C58" s="27"/>
      <c r="D58" s="11">
        <v>4</v>
      </c>
      <c r="E58" s="28" t="s">
        <v>83</v>
      </c>
      <c r="F58" s="29"/>
      <c r="G58" s="29"/>
      <c r="H58" s="29"/>
      <c r="I58" s="29"/>
      <c r="J58" s="29"/>
      <c r="K58" s="30"/>
    </row>
    <row r="59" spans="2:12" ht="50.1" customHeight="1" x14ac:dyDescent="0.25">
      <c r="B59" s="26"/>
      <c r="C59" s="27"/>
      <c r="D59" s="12">
        <v>5</v>
      </c>
      <c r="E59" s="28" t="s">
        <v>84</v>
      </c>
      <c r="F59" s="29"/>
      <c r="G59" s="29"/>
      <c r="H59" s="29"/>
      <c r="I59" s="29"/>
      <c r="J59" s="29"/>
      <c r="K59" s="30"/>
    </row>
    <row r="60" spans="2:12" x14ac:dyDescent="0.25">
      <c r="B60" s="13" t="s">
        <v>85</v>
      </c>
      <c r="C60" s="25" t="s">
        <v>86</v>
      </c>
      <c r="D60" s="25"/>
      <c r="E60" s="25"/>
      <c r="F60" s="25"/>
      <c r="G60" s="25"/>
      <c r="H60" s="25"/>
      <c r="I60" s="25"/>
      <c r="J60" s="25"/>
      <c r="K60" s="25"/>
    </row>
    <row r="61" spans="2:12" ht="50.1" customHeight="1" x14ac:dyDescent="0.25">
      <c r="B61" s="26"/>
      <c r="C61" s="27"/>
      <c r="D61" s="11">
        <v>0</v>
      </c>
      <c r="E61" s="28" t="s">
        <v>87</v>
      </c>
      <c r="F61" s="29"/>
      <c r="G61" s="29"/>
      <c r="H61" s="29"/>
      <c r="I61" s="29"/>
      <c r="J61" s="29"/>
      <c r="K61" s="30"/>
      <c r="L61" s="24">
        <v>1</v>
      </c>
    </row>
    <row r="62" spans="2:12" ht="50.1" customHeight="1" x14ac:dyDescent="0.25">
      <c r="B62" s="26"/>
      <c r="C62" s="27"/>
      <c r="D62" s="11">
        <v>1</v>
      </c>
      <c r="E62" s="28" t="s">
        <v>88</v>
      </c>
      <c r="F62" s="29"/>
      <c r="G62" s="29"/>
      <c r="H62" s="29"/>
      <c r="I62" s="29"/>
      <c r="J62" s="29"/>
      <c r="K62" s="30"/>
    </row>
    <row r="63" spans="2:12" ht="50.1" customHeight="1" x14ac:dyDescent="0.25">
      <c r="B63" s="26"/>
      <c r="C63" s="27"/>
      <c r="D63" s="11">
        <v>2</v>
      </c>
      <c r="E63" s="28" t="s">
        <v>89</v>
      </c>
      <c r="F63" s="29"/>
      <c r="G63" s="29"/>
      <c r="H63" s="29"/>
      <c r="I63" s="29"/>
      <c r="J63" s="29"/>
      <c r="K63" s="30"/>
    </row>
    <row r="64" spans="2:12" ht="50.1" customHeight="1" x14ac:dyDescent="0.25">
      <c r="B64" s="26"/>
      <c r="C64" s="27"/>
      <c r="D64" s="11">
        <v>3</v>
      </c>
      <c r="E64" s="28" t="s">
        <v>90</v>
      </c>
      <c r="F64" s="29"/>
      <c r="G64" s="29"/>
      <c r="H64" s="29"/>
      <c r="I64" s="29"/>
      <c r="J64" s="29"/>
      <c r="K64" s="30"/>
    </row>
    <row r="65" spans="2:11" ht="50.1" customHeight="1" x14ac:dyDescent="0.25">
      <c r="B65" s="26"/>
      <c r="C65" s="27"/>
      <c r="D65" s="11">
        <v>4</v>
      </c>
      <c r="E65" s="28" t="s">
        <v>91</v>
      </c>
      <c r="F65" s="29"/>
      <c r="G65" s="29"/>
      <c r="H65" s="29"/>
      <c r="I65" s="29"/>
      <c r="J65" s="29"/>
      <c r="K65" s="30"/>
    </row>
    <row r="66" spans="2:11" ht="50.1" customHeight="1" x14ac:dyDescent="0.25">
      <c r="B66" s="26"/>
      <c r="C66" s="27"/>
      <c r="D66" s="12">
        <v>5</v>
      </c>
      <c r="E66" s="28" t="s">
        <v>92</v>
      </c>
      <c r="F66" s="29"/>
      <c r="G66" s="29"/>
      <c r="H66" s="29"/>
      <c r="I66" s="29"/>
      <c r="J66" s="29"/>
      <c r="K66" s="30"/>
    </row>
  </sheetData>
  <sheetProtection selectLockedCells="1" selectUnlockedCells="1"/>
  <mergeCells count="86">
    <mergeCell ref="B1:K1"/>
    <mergeCell ref="E2:K2"/>
    <mergeCell ref="C3:K3"/>
    <mergeCell ref="B4:B9"/>
    <mergeCell ref="C4:C9"/>
    <mergeCell ref="E4:K4"/>
    <mergeCell ref="E5:K5"/>
    <mergeCell ref="E6:K6"/>
    <mergeCell ref="E7:K7"/>
    <mergeCell ref="E8:K8"/>
    <mergeCell ref="E9:K9"/>
    <mergeCell ref="B10:B15"/>
    <mergeCell ref="C10:C15"/>
    <mergeCell ref="E10:K10"/>
    <mergeCell ref="E11:K11"/>
    <mergeCell ref="E12:K12"/>
    <mergeCell ref="E13:K13"/>
    <mergeCell ref="E14:K14"/>
    <mergeCell ref="E15:K15"/>
    <mergeCell ref="B16:B21"/>
    <mergeCell ref="C16:C21"/>
    <mergeCell ref="E16:K16"/>
    <mergeCell ref="E17:K17"/>
    <mergeCell ref="E18:K18"/>
    <mergeCell ref="E19:K19"/>
    <mergeCell ref="E20:K20"/>
    <mergeCell ref="E21:K21"/>
    <mergeCell ref="B22:B27"/>
    <mergeCell ref="C22:C27"/>
    <mergeCell ref="E22:K22"/>
    <mergeCell ref="E23:K23"/>
    <mergeCell ref="E24:K24"/>
    <mergeCell ref="E25:K25"/>
    <mergeCell ref="E26:K26"/>
    <mergeCell ref="E27:K27"/>
    <mergeCell ref="C28:K28"/>
    <mergeCell ref="B29:B34"/>
    <mergeCell ref="C29:C34"/>
    <mergeCell ref="E29:K29"/>
    <mergeCell ref="E30:K30"/>
    <mergeCell ref="E31:K31"/>
    <mergeCell ref="E32:K32"/>
    <mergeCell ref="E33:K33"/>
    <mergeCell ref="E34:K34"/>
    <mergeCell ref="B35:B40"/>
    <mergeCell ref="C35:C40"/>
    <mergeCell ref="E35:K35"/>
    <mergeCell ref="E36:K36"/>
    <mergeCell ref="E37:K37"/>
    <mergeCell ref="E38:K38"/>
    <mergeCell ref="E39:K39"/>
    <mergeCell ref="E40:K40"/>
    <mergeCell ref="B41:B46"/>
    <mergeCell ref="C41:C46"/>
    <mergeCell ref="E41:K41"/>
    <mergeCell ref="E42:K42"/>
    <mergeCell ref="E43:K43"/>
    <mergeCell ref="E44:K44"/>
    <mergeCell ref="E45:K45"/>
    <mergeCell ref="E46:K46"/>
    <mergeCell ref="C47:K47"/>
    <mergeCell ref="B48:B53"/>
    <mergeCell ref="C48:C53"/>
    <mergeCell ref="E48:K48"/>
    <mergeCell ref="E49:K49"/>
    <mergeCell ref="E50:K50"/>
    <mergeCell ref="E51:K51"/>
    <mergeCell ref="E52:K52"/>
    <mergeCell ref="E53:K53"/>
    <mergeCell ref="B54:B59"/>
    <mergeCell ref="C54:C59"/>
    <mergeCell ref="E54:K54"/>
    <mergeCell ref="E55:K55"/>
    <mergeCell ref="E56:K56"/>
    <mergeCell ref="E57:K57"/>
    <mergeCell ref="E58:K58"/>
    <mergeCell ref="E59:K59"/>
    <mergeCell ref="C60:K60"/>
    <mergeCell ref="B61:B66"/>
    <mergeCell ref="C61:C66"/>
    <mergeCell ref="E61:K61"/>
    <mergeCell ref="E62:K62"/>
    <mergeCell ref="E63:K63"/>
    <mergeCell ref="E64:K64"/>
    <mergeCell ref="E65:K65"/>
    <mergeCell ref="E66:K6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Group Box 1">
              <controlPr defaultSize="0" autoFill="0" autoPict="0">
                <anchor moveWithCells="1">
                  <from>
                    <xdr:col>3</xdr:col>
                    <xdr:colOff>600075</xdr:colOff>
                    <xdr:row>2</xdr:row>
                    <xdr:rowOff>180975</xdr:rowOff>
                  </from>
                  <to>
                    <xdr:col>11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Option Button 2">
              <controlPr defaultSize="0" autoFill="0" autoLine="0" autoPict="0">
                <anchor moveWithCells="1">
                  <from>
                    <xdr:col>4</xdr:col>
                    <xdr:colOff>19050</xdr:colOff>
                    <xdr:row>3</xdr:row>
                    <xdr:rowOff>19050</xdr:rowOff>
                  </from>
                  <to>
                    <xdr:col>10</xdr:col>
                    <xdr:colOff>2390775</xdr:colOff>
                    <xdr:row>3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Option Button 3">
              <controlPr defaultSize="0" autoFill="0" autoLine="0" autoPict="0">
                <anchor moveWithCells="1">
                  <from>
                    <xdr:col>4</xdr:col>
                    <xdr:colOff>19050</xdr:colOff>
                    <xdr:row>4</xdr:row>
                    <xdr:rowOff>19050</xdr:rowOff>
                  </from>
                  <to>
                    <xdr:col>10</xdr:col>
                    <xdr:colOff>2390775</xdr:colOff>
                    <xdr:row>4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Option Button 4">
              <controlPr defaultSize="0" autoFill="0" autoLine="0" autoPict="0">
                <anchor moveWithCells="1">
                  <from>
                    <xdr:col>4</xdr:col>
                    <xdr:colOff>19050</xdr:colOff>
                    <xdr:row>5</xdr:row>
                    <xdr:rowOff>19050</xdr:rowOff>
                  </from>
                  <to>
                    <xdr:col>10</xdr:col>
                    <xdr:colOff>2390775</xdr:colOff>
                    <xdr:row>5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8" name="Option Button 5">
              <controlPr defaultSize="0" autoFill="0" autoLine="0" autoPict="0">
                <anchor moveWithCells="1">
                  <from>
                    <xdr:col>4</xdr:col>
                    <xdr:colOff>19050</xdr:colOff>
                    <xdr:row>6</xdr:row>
                    <xdr:rowOff>19050</xdr:rowOff>
                  </from>
                  <to>
                    <xdr:col>10</xdr:col>
                    <xdr:colOff>2390775</xdr:colOff>
                    <xdr:row>6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9" name="Option Button 6">
              <controlPr defaultSize="0" autoFill="0" autoLine="0" autoPict="0">
                <anchor moveWithCells="1">
                  <from>
                    <xdr:col>4</xdr:col>
                    <xdr:colOff>19050</xdr:colOff>
                    <xdr:row>7</xdr:row>
                    <xdr:rowOff>19050</xdr:rowOff>
                  </from>
                  <to>
                    <xdr:col>10</xdr:col>
                    <xdr:colOff>2390775</xdr:colOff>
                    <xdr:row>7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10" name="Option Button 7">
              <controlPr defaultSize="0" autoFill="0" autoLine="0" autoPict="0">
                <anchor moveWithCells="1">
                  <from>
                    <xdr:col>4</xdr:col>
                    <xdr:colOff>19050</xdr:colOff>
                    <xdr:row>8</xdr:row>
                    <xdr:rowOff>19050</xdr:rowOff>
                  </from>
                  <to>
                    <xdr:col>10</xdr:col>
                    <xdr:colOff>2390775</xdr:colOff>
                    <xdr:row>8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1" name="Group Box 8">
              <controlPr defaultSize="0" autoFill="0" autoPict="0">
                <anchor moveWithCells="1">
                  <from>
                    <xdr:col>3</xdr:col>
                    <xdr:colOff>600075</xdr:colOff>
                    <xdr:row>9</xdr:row>
                    <xdr:rowOff>9525</xdr:rowOff>
                  </from>
                  <to>
                    <xdr:col>11</xdr:col>
                    <xdr:colOff>0</xdr:colOff>
                    <xdr:row>14</xdr:row>
                    <xdr:rowOff>600075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12" name="Option Button 9">
              <controlPr defaultSize="0" autoFill="0" autoLine="0" autoPict="0">
                <anchor moveWithCells="1">
                  <from>
                    <xdr:col>4</xdr:col>
                    <xdr:colOff>19050</xdr:colOff>
                    <xdr:row>9</xdr:row>
                    <xdr:rowOff>19050</xdr:rowOff>
                  </from>
                  <to>
                    <xdr:col>10</xdr:col>
                    <xdr:colOff>2390775</xdr:colOff>
                    <xdr:row>9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13" name="Option Button 10">
              <controlPr defaultSize="0" autoFill="0" autoLine="0" autoPict="0">
                <anchor moveWithCells="1">
                  <from>
                    <xdr:col>4</xdr:col>
                    <xdr:colOff>19050</xdr:colOff>
                    <xdr:row>10</xdr:row>
                    <xdr:rowOff>19050</xdr:rowOff>
                  </from>
                  <to>
                    <xdr:col>10</xdr:col>
                    <xdr:colOff>2390775</xdr:colOff>
                    <xdr:row>10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4" name="Option Button 11">
              <controlPr defaultSize="0" autoFill="0" autoLine="0" autoPict="0">
                <anchor moveWithCells="1">
                  <from>
                    <xdr:col>4</xdr:col>
                    <xdr:colOff>19050</xdr:colOff>
                    <xdr:row>11</xdr:row>
                    <xdr:rowOff>19050</xdr:rowOff>
                  </from>
                  <to>
                    <xdr:col>10</xdr:col>
                    <xdr:colOff>2390775</xdr:colOff>
                    <xdr:row>11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5" name="Option Button 12">
              <controlPr defaultSize="0" autoFill="0" autoLine="0" autoPict="0">
                <anchor moveWithCells="1">
                  <from>
                    <xdr:col>4</xdr:col>
                    <xdr:colOff>19050</xdr:colOff>
                    <xdr:row>12</xdr:row>
                    <xdr:rowOff>19050</xdr:rowOff>
                  </from>
                  <to>
                    <xdr:col>10</xdr:col>
                    <xdr:colOff>2390775</xdr:colOff>
                    <xdr:row>12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6" name="Option Button 13">
              <controlPr defaultSize="0" autoFill="0" autoLine="0" autoPict="0">
                <anchor moveWithCells="1">
                  <from>
                    <xdr:col>4</xdr:col>
                    <xdr:colOff>19050</xdr:colOff>
                    <xdr:row>13</xdr:row>
                    <xdr:rowOff>19050</xdr:rowOff>
                  </from>
                  <to>
                    <xdr:col>10</xdr:col>
                    <xdr:colOff>2390775</xdr:colOff>
                    <xdr:row>13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17" name="Option Button 14">
              <controlPr defaultSize="0" autoFill="0" autoLine="0" autoPict="0">
                <anchor moveWithCells="1">
                  <from>
                    <xdr:col>4</xdr:col>
                    <xdr:colOff>19050</xdr:colOff>
                    <xdr:row>14</xdr:row>
                    <xdr:rowOff>19050</xdr:rowOff>
                  </from>
                  <to>
                    <xdr:col>10</xdr:col>
                    <xdr:colOff>2390775</xdr:colOff>
                    <xdr:row>14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18" name="Group Box 15">
              <controlPr defaultSize="0" autoFill="0" autoPict="0">
                <anchor moveWithCells="1">
                  <from>
                    <xdr:col>3</xdr:col>
                    <xdr:colOff>600075</xdr:colOff>
                    <xdr:row>15</xdr:row>
                    <xdr:rowOff>9525</xdr:rowOff>
                  </from>
                  <to>
                    <xdr:col>11</xdr:col>
                    <xdr:colOff>0</xdr:colOff>
                    <xdr:row>20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9" name="Option Button 16">
              <controlPr defaultSize="0" autoFill="0" autoLine="0" autoPict="0">
                <anchor moveWithCells="1">
                  <from>
                    <xdr:col>4</xdr:col>
                    <xdr:colOff>19050</xdr:colOff>
                    <xdr:row>15</xdr:row>
                    <xdr:rowOff>19050</xdr:rowOff>
                  </from>
                  <to>
                    <xdr:col>10</xdr:col>
                    <xdr:colOff>2390775</xdr:colOff>
                    <xdr:row>15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20" name="Option Button 17">
              <controlPr defaultSize="0" autoFill="0" autoLine="0" autoPict="0">
                <anchor moveWithCells="1">
                  <from>
                    <xdr:col>4</xdr:col>
                    <xdr:colOff>19050</xdr:colOff>
                    <xdr:row>16</xdr:row>
                    <xdr:rowOff>19050</xdr:rowOff>
                  </from>
                  <to>
                    <xdr:col>10</xdr:col>
                    <xdr:colOff>2390775</xdr:colOff>
                    <xdr:row>16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21" name="Option Button 18">
              <controlPr defaultSize="0" autoFill="0" autoLine="0" autoPict="0">
                <anchor moveWithCells="1">
                  <from>
                    <xdr:col>4</xdr:col>
                    <xdr:colOff>19050</xdr:colOff>
                    <xdr:row>17</xdr:row>
                    <xdr:rowOff>19050</xdr:rowOff>
                  </from>
                  <to>
                    <xdr:col>10</xdr:col>
                    <xdr:colOff>2390775</xdr:colOff>
                    <xdr:row>17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22" name="Option Button 19">
              <controlPr defaultSize="0" autoFill="0" autoLine="0" autoPict="0">
                <anchor moveWithCells="1">
                  <from>
                    <xdr:col>4</xdr:col>
                    <xdr:colOff>19050</xdr:colOff>
                    <xdr:row>18</xdr:row>
                    <xdr:rowOff>19050</xdr:rowOff>
                  </from>
                  <to>
                    <xdr:col>10</xdr:col>
                    <xdr:colOff>2390775</xdr:colOff>
                    <xdr:row>18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23" name="Option Button 20">
              <controlPr defaultSize="0" autoFill="0" autoLine="0" autoPict="0">
                <anchor moveWithCells="1">
                  <from>
                    <xdr:col>4</xdr:col>
                    <xdr:colOff>19050</xdr:colOff>
                    <xdr:row>19</xdr:row>
                    <xdr:rowOff>19050</xdr:rowOff>
                  </from>
                  <to>
                    <xdr:col>10</xdr:col>
                    <xdr:colOff>2390775</xdr:colOff>
                    <xdr:row>19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24" name="Option Button 21">
              <controlPr defaultSize="0" autoFill="0" autoLine="0" autoPict="0">
                <anchor moveWithCells="1">
                  <from>
                    <xdr:col>4</xdr:col>
                    <xdr:colOff>19050</xdr:colOff>
                    <xdr:row>20</xdr:row>
                    <xdr:rowOff>19050</xdr:rowOff>
                  </from>
                  <to>
                    <xdr:col>10</xdr:col>
                    <xdr:colOff>2390775</xdr:colOff>
                    <xdr:row>20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" r:id="rId25" name="Group Box 22">
              <controlPr defaultSize="0" autoFill="0" autoPict="0">
                <anchor moveWithCells="1">
                  <from>
                    <xdr:col>3</xdr:col>
                    <xdr:colOff>600075</xdr:colOff>
                    <xdr:row>21</xdr:row>
                    <xdr:rowOff>9525</xdr:rowOff>
                  </from>
                  <to>
                    <xdr:col>11</xdr:col>
                    <xdr:colOff>0</xdr:colOff>
                    <xdr:row>26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26" name="Option Button 23">
              <controlPr defaultSize="0" autoFill="0" autoLine="0" autoPict="0">
                <anchor moveWithCells="1">
                  <from>
                    <xdr:col>4</xdr:col>
                    <xdr:colOff>19050</xdr:colOff>
                    <xdr:row>21</xdr:row>
                    <xdr:rowOff>19050</xdr:rowOff>
                  </from>
                  <to>
                    <xdr:col>10</xdr:col>
                    <xdr:colOff>2390775</xdr:colOff>
                    <xdr:row>21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27" name="Option Button 24">
              <controlPr defaultSize="0" autoFill="0" autoLine="0" autoPict="0">
                <anchor moveWithCells="1">
                  <from>
                    <xdr:col>4</xdr:col>
                    <xdr:colOff>19050</xdr:colOff>
                    <xdr:row>22</xdr:row>
                    <xdr:rowOff>19050</xdr:rowOff>
                  </from>
                  <to>
                    <xdr:col>10</xdr:col>
                    <xdr:colOff>2390775</xdr:colOff>
                    <xdr:row>22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28" name="Option Button 25">
              <controlPr defaultSize="0" autoFill="0" autoLine="0" autoPict="0">
                <anchor moveWithCells="1">
                  <from>
                    <xdr:col>4</xdr:col>
                    <xdr:colOff>19050</xdr:colOff>
                    <xdr:row>23</xdr:row>
                    <xdr:rowOff>19050</xdr:rowOff>
                  </from>
                  <to>
                    <xdr:col>10</xdr:col>
                    <xdr:colOff>2390775</xdr:colOff>
                    <xdr:row>23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29" name="Option Button 26">
              <controlPr defaultSize="0" autoFill="0" autoLine="0" autoPict="0">
                <anchor moveWithCells="1">
                  <from>
                    <xdr:col>4</xdr:col>
                    <xdr:colOff>19050</xdr:colOff>
                    <xdr:row>24</xdr:row>
                    <xdr:rowOff>19050</xdr:rowOff>
                  </from>
                  <to>
                    <xdr:col>10</xdr:col>
                    <xdr:colOff>2390775</xdr:colOff>
                    <xdr:row>24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30" name="Option Button 27">
              <controlPr defaultSize="0" autoFill="0" autoLine="0" autoPict="0">
                <anchor moveWithCells="1">
                  <from>
                    <xdr:col>4</xdr:col>
                    <xdr:colOff>19050</xdr:colOff>
                    <xdr:row>25</xdr:row>
                    <xdr:rowOff>19050</xdr:rowOff>
                  </from>
                  <to>
                    <xdr:col>10</xdr:col>
                    <xdr:colOff>2390775</xdr:colOff>
                    <xdr:row>25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" r:id="rId31" name="Option Button 28">
              <controlPr defaultSize="0" autoFill="0" autoLine="0" autoPict="0">
                <anchor moveWithCells="1">
                  <from>
                    <xdr:col>4</xdr:col>
                    <xdr:colOff>19050</xdr:colOff>
                    <xdr:row>26</xdr:row>
                    <xdr:rowOff>19050</xdr:rowOff>
                  </from>
                  <to>
                    <xdr:col>10</xdr:col>
                    <xdr:colOff>2390775</xdr:colOff>
                    <xdr:row>26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" r:id="rId32" name="Group Box 29">
              <controlPr defaultSize="0" autoFill="0" autoPict="0">
                <anchor moveWithCells="1">
                  <from>
                    <xdr:col>3</xdr:col>
                    <xdr:colOff>600075</xdr:colOff>
                    <xdr:row>28</xdr:row>
                    <xdr:rowOff>9525</xdr:rowOff>
                  </from>
                  <to>
                    <xdr:col>11</xdr:col>
                    <xdr:colOff>0</xdr:colOff>
                    <xdr:row>33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" r:id="rId33" name="Option Button 30">
              <controlPr defaultSize="0" autoFill="0" autoLine="0" autoPict="0">
                <anchor moveWithCells="1">
                  <from>
                    <xdr:col>4</xdr:col>
                    <xdr:colOff>19050</xdr:colOff>
                    <xdr:row>28</xdr:row>
                    <xdr:rowOff>19050</xdr:rowOff>
                  </from>
                  <to>
                    <xdr:col>10</xdr:col>
                    <xdr:colOff>2390775</xdr:colOff>
                    <xdr:row>28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3" r:id="rId34" name="Option Button 31">
              <controlPr defaultSize="0" autoFill="0" autoLine="0" autoPict="0">
                <anchor moveWithCells="1">
                  <from>
                    <xdr:col>4</xdr:col>
                    <xdr:colOff>19050</xdr:colOff>
                    <xdr:row>29</xdr:row>
                    <xdr:rowOff>19050</xdr:rowOff>
                  </from>
                  <to>
                    <xdr:col>10</xdr:col>
                    <xdr:colOff>2390775</xdr:colOff>
                    <xdr:row>29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4" r:id="rId35" name="Option Button 32">
              <controlPr defaultSize="0" autoFill="0" autoLine="0" autoPict="0">
                <anchor moveWithCells="1">
                  <from>
                    <xdr:col>4</xdr:col>
                    <xdr:colOff>19050</xdr:colOff>
                    <xdr:row>30</xdr:row>
                    <xdr:rowOff>19050</xdr:rowOff>
                  </from>
                  <to>
                    <xdr:col>10</xdr:col>
                    <xdr:colOff>2390775</xdr:colOff>
                    <xdr:row>30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5" r:id="rId36" name="Option Button 33">
              <controlPr defaultSize="0" autoFill="0" autoLine="0" autoPict="0">
                <anchor moveWithCells="1">
                  <from>
                    <xdr:col>4</xdr:col>
                    <xdr:colOff>19050</xdr:colOff>
                    <xdr:row>31</xdr:row>
                    <xdr:rowOff>19050</xdr:rowOff>
                  </from>
                  <to>
                    <xdr:col>10</xdr:col>
                    <xdr:colOff>2390775</xdr:colOff>
                    <xdr:row>31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6" r:id="rId37" name="Option Button 34">
              <controlPr defaultSize="0" autoFill="0" autoLine="0" autoPict="0">
                <anchor moveWithCells="1">
                  <from>
                    <xdr:col>4</xdr:col>
                    <xdr:colOff>19050</xdr:colOff>
                    <xdr:row>32</xdr:row>
                    <xdr:rowOff>19050</xdr:rowOff>
                  </from>
                  <to>
                    <xdr:col>10</xdr:col>
                    <xdr:colOff>2390775</xdr:colOff>
                    <xdr:row>32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38" name="Option Button 35">
              <controlPr defaultSize="0" autoFill="0" autoLine="0" autoPict="0">
                <anchor moveWithCells="1">
                  <from>
                    <xdr:col>4</xdr:col>
                    <xdr:colOff>19050</xdr:colOff>
                    <xdr:row>33</xdr:row>
                    <xdr:rowOff>19050</xdr:rowOff>
                  </from>
                  <to>
                    <xdr:col>10</xdr:col>
                    <xdr:colOff>2390775</xdr:colOff>
                    <xdr:row>33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39" name="Group Box 36">
              <controlPr defaultSize="0" autoFill="0" autoPict="0">
                <anchor moveWithCells="1">
                  <from>
                    <xdr:col>3</xdr:col>
                    <xdr:colOff>600075</xdr:colOff>
                    <xdr:row>34</xdr:row>
                    <xdr:rowOff>9525</xdr:rowOff>
                  </from>
                  <to>
                    <xdr:col>11</xdr:col>
                    <xdr:colOff>0</xdr:colOff>
                    <xdr:row>39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40" name="Option Button 37">
              <controlPr defaultSize="0" autoFill="0" autoLine="0" autoPict="0">
                <anchor moveWithCells="1">
                  <from>
                    <xdr:col>4</xdr:col>
                    <xdr:colOff>19050</xdr:colOff>
                    <xdr:row>34</xdr:row>
                    <xdr:rowOff>19050</xdr:rowOff>
                  </from>
                  <to>
                    <xdr:col>10</xdr:col>
                    <xdr:colOff>2390775</xdr:colOff>
                    <xdr:row>34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41" name="Option Button 38">
              <controlPr defaultSize="0" autoFill="0" autoLine="0" autoPict="0">
                <anchor moveWithCells="1">
                  <from>
                    <xdr:col>4</xdr:col>
                    <xdr:colOff>19050</xdr:colOff>
                    <xdr:row>35</xdr:row>
                    <xdr:rowOff>19050</xdr:rowOff>
                  </from>
                  <to>
                    <xdr:col>10</xdr:col>
                    <xdr:colOff>2390775</xdr:colOff>
                    <xdr:row>35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42" name="Option Button 39">
              <controlPr defaultSize="0" autoFill="0" autoLine="0" autoPict="0">
                <anchor moveWithCells="1">
                  <from>
                    <xdr:col>4</xdr:col>
                    <xdr:colOff>19050</xdr:colOff>
                    <xdr:row>36</xdr:row>
                    <xdr:rowOff>19050</xdr:rowOff>
                  </from>
                  <to>
                    <xdr:col>10</xdr:col>
                    <xdr:colOff>2390775</xdr:colOff>
                    <xdr:row>36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43" name="Option Button 40">
              <controlPr defaultSize="0" autoFill="0" autoLine="0" autoPict="0">
                <anchor moveWithCells="1">
                  <from>
                    <xdr:col>4</xdr:col>
                    <xdr:colOff>19050</xdr:colOff>
                    <xdr:row>37</xdr:row>
                    <xdr:rowOff>19050</xdr:rowOff>
                  </from>
                  <to>
                    <xdr:col>10</xdr:col>
                    <xdr:colOff>2390775</xdr:colOff>
                    <xdr:row>37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44" name="Option Button 41">
              <controlPr defaultSize="0" autoFill="0" autoLine="0" autoPict="0">
                <anchor moveWithCells="1">
                  <from>
                    <xdr:col>4</xdr:col>
                    <xdr:colOff>19050</xdr:colOff>
                    <xdr:row>38</xdr:row>
                    <xdr:rowOff>19050</xdr:rowOff>
                  </from>
                  <to>
                    <xdr:col>10</xdr:col>
                    <xdr:colOff>2390775</xdr:colOff>
                    <xdr:row>38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45" name="Option Button 42">
              <controlPr defaultSize="0" autoFill="0" autoLine="0" autoPict="0">
                <anchor moveWithCells="1">
                  <from>
                    <xdr:col>4</xdr:col>
                    <xdr:colOff>19050</xdr:colOff>
                    <xdr:row>39</xdr:row>
                    <xdr:rowOff>19050</xdr:rowOff>
                  </from>
                  <to>
                    <xdr:col>10</xdr:col>
                    <xdr:colOff>2390775</xdr:colOff>
                    <xdr:row>39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46" name="Group Box 43">
              <controlPr defaultSize="0" autoFill="0" autoPict="0">
                <anchor moveWithCells="1">
                  <from>
                    <xdr:col>3</xdr:col>
                    <xdr:colOff>600075</xdr:colOff>
                    <xdr:row>40</xdr:row>
                    <xdr:rowOff>9525</xdr:rowOff>
                  </from>
                  <to>
                    <xdr:col>11</xdr:col>
                    <xdr:colOff>0</xdr:colOff>
                    <xdr:row>45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47" name="Option Button 44">
              <controlPr defaultSize="0" autoFill="0" autoLine="0" autoPict="0">
                <anchor moveWithCells="1">
                  <from>
                    <xdr:col>4</xdr:col>
                    <xdr:colOff>19050</xdr:colOff>
                    <xdr:row>40</xdr:row>
                    <xdr:rowOff>19050</xdr:rowOff>
                  </from>
                  <to>
                    <xdr:col>10</xdr:col>
                    <xdr:colOff>2390775</xdr:colOff>
                    <xdr:row>40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48" name="Option Button 45">
              <controlPr defaultSize="0" autoFill="0" autoLine="0" autoPict="0">
                <anchor moveWithCells="1">
                  <from>
                    <xdr:col>4</xdr:col>
                    <xdr:colOff>19050</xdr:colOff>
                    <xdr:row>41</xdr:row>
                    <xdr:rowOff>19050</xdr:rowOff>
                  </from>
                  <to>
                    <xdr:col>10</xdr:col>
                    <xdr:colOff>2390775</xdr:colOff>
                    <xdr:row>41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49" name="Option Button 46">
              <controlPr defaultSize="0" autoFill="0" autoLine="0" autoPict="0">
                <anchor moveWithCells="1">
                  <from>
                    <xdr:col>4</xdr:col>
                    <xdr:colOff>19050</xdr:colOff>
                    <xdr:row>42</xdr:row>
                    <xdr:rowOff>19050</xdr:rowOff>
                  </from>
                  <to>
                    <xdr:col>10</xdr:col>
                    <xdr:colOff>2390775</xdr:colOff>
                    <xdr:row>42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50" name="Option Button 47">
              <controlPr defaultSize="0" autoFill="0" autoLine="0" autoPict="0">
                <anchor moveWithCells="1">
                  <from>
                    <xdr:col>4</xdr:col>
                    <xdr:colOff>19050</xdr:colOff>
                    <xdr:row>43</xdr:row>
                    <xdr:rowOff>19050</xdr:rowOff>
                  </from>
                  <to>
                    <xdr:col>10</xdr:col>
                    <xdr:colOff>2390775</xdr:colOff>
                    <xdr:row>43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51" name="Option Button 48">
              <controlPr defaultSize="0" autoFill="0" autoLine="0" autoPict="0">
                <anchor moveWithCells="1">
                  <from>
                    <xdr:col>4</xdr:col>
                    <xdr:colOff>19050</xdr:colOff>
                    <xdr:row>44</xdr:row>
                    <xdr:rowOff>19050</xdr:rowOff>
                  </from>
                  <to>
                    <xdr:col>10</xdr:col>
                    <xdr:colOff>2390775</xdr:colOff>
                    <xdr:row>44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52" name="Option Button 49">
              <controlPr defaultSize="0" autoFill="0" autoLine="0" autoPict="0">
                <anchor moveWithCells="1">
                  <from>
                    <xdr:col>4</xdr:col>
                    <xdr:colOff>19050</xdr:colOff>
                    <xdr:row>45</xdr:row>
                    <xdr:rowOff>19050</xdr:rowOff>
                  </from>
                  <to>
                    <xdr:col>10</xdr:col>
                    <xdr:colOff>2390775</xdr:colOff>
                    <xdr:row>45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53" name="Group Box 50">
              <controlPr defaultSize="0" autoFill="0" autoPict="0">
                <anchor moveWithCells="1">
                  <from>
                    <xdr:col>3</xdr:col>
                    <xdr:colOff>600075</xdr:colOff>
                    <xdr:row>47</xdr:row>
                    <xdr:rowOff>9525</xdr:rowOff>
                  </from>
                  <to>
                    <xdr:col>11</xdr:col>
                    <xdr:colOff>0</xdr:colOff>
                    <xdr:row>52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54" name="Option Button 51">
              <controlPr defaultSize="0" autoFill="0" autoLine="0" autoPict="0">
                <anchor moveWithCells="1">
                  <from>
                    <xdr:col>4</xdr:col>
                    <xdr:colOff>19050</xdr:colOff>
                    <xdr:row>47</xdr:row>
                    <xdr:rowOff>19050</xdr:rowOff>
                  </from>
                  <to>
                    <xdr:col>10</xdr:col>
                    <xdr:colOff>2390775</xdr:colOff>
                    <xdr:row>47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55" name="Option Button 52">
              <controlPr defaultSize="0" autoFill="0" autoLine="0" autoPict="0">
                <anchor moveWithCells="1">
                  <from>
                    <xdr:col>4</xdr:col>
                    <xdr:colOff>19050</xdr:colOff>
                    <xdr:row>48</xdr:row>
                    <xdr:rowOff>19050</xdr:rowOff>
                  </from>
                  <to>
                    <xdr:col>10</xdr:col>
                    <xdr:colOff>2390775</xdr:colOff>
                    <xdr:row>48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56" name="Option Button 53">
              <controlPr defaultSize="0" autoFill="0" autoLine="0" autoPict="0">
                <anchor moveWithCells="1">
                  <from>
                    <xdr:col>4</xdr:col>
                    <xdr:colOff>19050</xdr:colOff>
                    <xdr:row>49</xdr:row>
                    <xdr:rowOff>19050</xdr:rowOff>
                  </from>
                  <to>
                    <xdr:col>10</xdr:col>
                    <xdr:colOff>2390775</xdr:colOff>
                    <xdr:row>49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57" name="Option Button 54">
              <controlPr defaultSize="0" autoFill="0" autoLine="0" autoPict="0">
                <anchor moveWithCells="1">
                  <from>
                    <xdr:col>4</xdr:col>
                    <xdr:colOff>19050</xdr:colOff>
                    <xdr:row>50</xdr:row>
                    <xdr:rowOff>19050</xdr:rowOff>
                  </from>
                  <to>
                    <xdr:col>10</xdr:col>
                    <xdr:colOff>2390775</xdr:colOff>
                    <xdr:row>50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58" name="Option Button 55">
              <controlPr defaultSize="0" autoFill="0" autoLine="0" autoPict="0">
                <anchor moveWithCells="1">
                  <from>
                    <xdr:col>4</xdr:col>
                    <xdr:colOff>19050</xdr:colOff>
                    <xdr:row>51</xdr:row>
                    <xdr:rowOff>19050</xdr:rowOff>
                  </from>
                  <to>
                    <xdr:col>10</xdr:col>
                    <xdr:colOff>2390775</xdr:colOff>
                    <xdr:row>51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59" name="Option Button 56">
              <controlPr defaultSize="0" autoFill="0" autoLine="0" autoPict="0">
                <anchor moveWithCells="1">
                  <from>
                    <xdr:col>4</xdr:col>
                    <xdr:colOff>19050</xdr:colOff>
                    <xdr:row>52</xdr:row>
                    <xdr:rowOff>19050</xdr:rowOff>
                  </from>
                  <to>
                    <xdr:col>10</xdr:col>
                    <xdr:colOff>2390775</xdr:colOff>
                    <xdr:row>52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60" name="Group Box 57">
              <controlPr defaultSize="0" autoFill="0" autoPict="0">
                <anchor moveWithCells="1">
                  <from>
                    <xdr:col>3</xdr:col>
                    <xdr:colOff>600075</xdr:colOff>
                    <xdr:row>53</xdr:row>
                    <xdr:rowOff>9525</xdr:rowOff>
                  </from>
                  <to>
                    <xdr:col>11</xdr:col>
                    <xdr:colOff>0</xdr:colOff>
                    <xdr:row>58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61" name="Option Button 58">
              <controlPr defaultSize="0" autoFill="0" autoLine="0" autoPict="0">
                <anchor moveWithCells="1">
                  <from>
                    <xdr:col>4</xdr:col>
                    <xdr:colOff>19050</xdr:colOff>
                    <xdr:row>53</xdr:row>
                    <xdr:rowOff>19050</xdr:rowOff>
                  </from>
                  <to>
                    <xdr:col>10</xdr:col>
                    <xdr:colOff>2390775</xdr:colOff>
                    <xdr:row>53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1" r:id="rId62" name="Option Button 59">
              <controlPr defaultSize="0" autoFill="0" autoLine="0" autoPict="0">
                <anchor moveWithCells="1">
                  <from>
                    <xdr:col>4</xdr:col>
                    <xdr:colOff>19050</xdr:colOff>
                    <xdr:row>54</xdr:row>
                    <xdr:rowOff>19050</xdr:rowOff>
                  </from>
                  <to>
                    <xdr:col>10</xdr:col>
                    <xdr:colOff>2390775</xdr:colOff>
                    <xdr:row>54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63" name="Option Button 60">
              <controlPr defaultSize="0" autoFill="0" autoLine="0" autoPict="0">
                <anchor moveWithCells="1">
                  <from>
                    <xdr:col>4</xdr:col>
                    <xdr:colOff>19050</xdr:colOff>
                    <xdr:row>55</xdr:row>
                    <xdr:rowOff>19050</xdr:rowOff>
                  </from>
                  <to>
                    <xdr:col>10</xdr:col>
                    <xdr:colOff>2390775</xdr:colOff>
                    <xdr:row>55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64" name="Option Button 61">
              <controlPr defaultSize="0" autoFill="0" autoLine="0" autoPict="0">
                <anchor moveWithCells="1">
                  <from>
                    <xdr:col>4</xdr:col>
                    <xdr:colOff>19050</xdr:colOff>
                    <xdr:row>56</xdr:row>
                    <xdr:rowOff>19050</xdr:rowOff>
                  </from>
                  <to>
                    <xdr:col>10</xdr:col>
                    <xdr:colOff>2390775</xdr:colOff>
                    <xdr:row>56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65" name="Option Button 62">
              <controlPr defaultSize="0" autoFill="0" autoLine="0" autoPict="0">
                <anchor moveWithCells="1">
                  <from>
                    <xdr:col>4</xdr:col>
                    <xdr:colOff>19050</xdr:colOff>
                    <xdr:row>57</xdr:row>
                    <xdr:rowOff>19050</xdr:rowOff>
                  </from>
                  <to>
                    <xdr:col>10</xdr:col>
                    <xdr:colOff>2390775</xdr:colOff>
                    <xdr:row>57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66" name="Option Button 63">
              <controlPr defaultSize="0" autoFill="0" autoLine="0" autoPict="0">
                <anchor moveWithCells="1">
                  <from>
                    <xdr:col>4</xdr:col>
                    <xdr:colOff>19050</xdr:colOff>
                    <xdr:row>58</xdr:row>
                    <xdr:rowOff>19050</xdr:rowOff>
                  </from>
                  <to>
                    <xdr:col>10</xdr:col>
                    <xdr:colOff>2390775</xdr:colOff>
                    <xdr:row>58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67" name="Group Box 64">
              <controlPr defaultSize="0" autoFill="0" autoPict="0">
                <anchor moveWithCells="1">
                  <from>
                    <xdr:col>3</xdr:col>
                    <xdr:colOff>600075</xdr:colOff>
                    <xdr:row>60</xdr:row>
                    <xdr:rowOff>9525</xdr:rowOff>
                  </from>
                  <to>
                    <xdr:col>11</xdr:col>
                    <xdr:colOff>0</xdr:colOff>
                    <xdr:row>65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68" name="Option Button 65">
              <controlPr defaultSize="0" autoFill="0" autoLine="0" autoPict="0">
                <anchor moveWithCells="1">
                  <from>
                    <xdr:col>4</xdr:col>
                    <xdr:colOff>19050</xdr:colOff>
                    <xdr:row>60</xdr:row>
                    <xdr:rowOff>19050</xdr:rowOff>
                  </from>
                  <to>
                    <xdr:col>10</xdr:col>
                    <xdr:colOff>2390775</xdr:colOff>
                    <xdr:row>60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69" name="Option Button 66">
              <controlPr defaultSize="0" autoFill="0" autoLine="0" autoPict="0">
                <anchor moveWithCells="1">
                  <from>
                    <xdr:col>4</xdr:col>
                    <xdr:colOff>19050</xdr:colOff>
                    <xdr:row>61</xdr:row>
                    <xdr:rowOff>19050</xdr:rowOff>
                  </from>
                  <to>
                    <xdr:col>10</xdr:col>
                    <xdr:colOff>2390775</xdr:colOff>
                    <xdr:row>61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70" name="Option Button 67">
              <controlPr defaultSize="0" autoFill="0" autoLine="0" autoPict="0">
                <anchor moveWithCells="1">
                  <from>
                    <xdr:col>4</xdr:col>
                    <xdr:colOff>19050</xdr:colOff>
                    <xdr:row>62</xdr:row>
                    <xdr:rowOff>19050</xdr:rowOff>
                  </from>
                  <to>
                    <xdr:col>10</xdr:col>
                    <xdr:colOff>2390775</xdr:colOff>
                    <xdr:row>62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71" name="Option Button 68">
              <controlPr defaultSize="0" autoFill="0" autoLine="0" autoPict="0">
                <anchor moveWithCells="1">
                  <from>
                    <xdr:col>4</xdr:col>
                    <xdr:colOff>19050</xdr:colOff>
                    <xdr:row>63</xdr:row>
                    <xdr:rowOff>19050</xdr:rowOff>
                  </from>
                  <to>
                    <xdr:col>10</xdr:col>
                    <xdr:colOff>2390775</xdr:colOff>
                    <xdr:row>63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72" name="Option Button 69">
              <controlPr defaultSize="0" autoFill="0" autoLine="0" autoPict="0">
                <anchor moveWithCells="1">
                  <from>
                    <xdr:col>4</xdr:col>
                    <xdr:colOff>19050</xdr:colOff>
                    <xdr:row>64</xdr:row>
                    <xdr:rowOff>19050</xdr:rowOff>
                  </from>
                  <to>
                    <xdr:col>10</xdr:col>
                    <xdr:colOff>2390775</xdr:colOff>
                    <xdr:row>64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73" name="Option Button 70">
              <controlPr defaultSize="0" autoFill="0" autoLine="0" autoPict="0">
                <anchor moveWithCells="1">
                  <from>
                    <xdr:col>4</xdr:col>
                    <xdr:colOff>19050</xdr:colOff>
                    <xdr:row>65</xdr:row>
                    <xdr:rowOff>19050</xdr:rowOff>
                  </from>
                  <to>
                    <xdr:col>10</xdr:col>
                    <xdr:colOff>2390775</xdr:colOff>
                    <xdr:row>65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74" name="Button 71">
              <controlPr defaultSize="0" print="0" autoFill="0" autoPict="0" macro="[0]!ThisWorkbook.Complete_Test" altText="Завершить заполнение">
                <anchor moveWithCells="1" sizeWithCells="1">
                  <from>
                    <xdr:col>2</xdr:col>
                    <xdr:colOff>1543050</xdr:colOff>
                    <xdr:row>67</xdr:row>
                    <xdr:rowOff>152400</xdr:rowOff>
                  </from>
                  <to>
                    <xdr:col>9</xdr:col>
                    <xdr:colOff>590550</xdr:colOff>
                    <xdr:row>69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1"/>
  <sheetViews>
    <sheetView topLeftCell="B1" workbookViewId="0">
      <selection activeCell="E2" sqref="E2"/>
    </sheetView>
  </sheetViews>
  <sheetFormatPr defaultRowHeight="15" x14ac:dyDescent="0.25"/>
  <cols>
    <col min="2" max="2" width="37" customWidth="1"/>
    <col min="5" max="5" width="26.140625" customWidth="1"/>
  </cols>
  <sheetData>
    <row r="1" spans="1:19" x14ac:dyDescent="0.25">
      <c r="A1" s="9" t="s">
        <v>3</v>
      </c>
      <c r="B1" s="9" t="s">
        <v>93</v>
      </c>
      <c r="C1" s="9" t="s">
        <v>5</v>
      </c>
      <c r="D1" s="16" t="s">
        <v>94</v>
      </c>
      <c r="E1" s="9" t="s">
        <v>95</v>
      </c>
    </row>
    <row r="2" spans="1:19" x14ac:dyDescent="0.25">
      <c r="A2" s="17" t="s">
        <v>9</v>
      </c>
      <c r="B2" s="11" t="str">
        <f>Наблюдение!C4</f>
        <v>Учебная активность</v>
      </c>
      <c r="C2" s="11">
        <f>Наблюдение!L4-1</f>
        <v>0</v>
      </c>
      <c r="D2" s="18">
        <f>SUM(C2:C11)</f>
        <v>0</v>
      </c>
      <c r="E2" s="11" t="str">
        <f>IF(D2&gt;43,"Высокий уровень",IF(D2&gt;35,"Уровень выше среднего",IF(D2&gt;25,"Средний уровень",IF(D2&gt;20,"Уровень ниже среднего",IF(D2&lt;21,"Низкий уровень")))))</f>
        <v>Низкий уровень</v>
      </c>
    </row>
    <row r="3" spans="1:19" x14ac:dyDescent="0.25">
      <c r="A3" s="11" t="s">
        <v>17</v>
      </c>
      <c r="B3" s="11" t="str">
        <f>Наблюдение!C10</f>
        <v>Целеполагание</v>
      </c>
      <c r="C3" s="11">
        <f>Наблюдение!L10-1</f>
        <v>0</v>
      </c>
      <c r="D3" s="2"/>
      <c r="E3" s="2"/>
    </row>
    <row r="4" spans="1:19" x14ac:dyDescent="0.25">
      <c r="A4" s="11" t="s">
        <v>25</v>
      </c>
      <c r="B4" s="11" t="str">
        <f>Наблюдение!C16</f>
        <v>Самоконтроль</v>
      </c>
      <c r="C4" s="11">
        <f>Наблюдение!L16-1</f>
        <v>0</v>
      </c>
      <c r="D4" s="2"/>
      <c r="E4" s="2"/>
    </row>
    <row r="5" spans="1:19" x14ac:dyDescent="0.25">
      <c r="A5" s="11" t="s">
        <v>33</v>
      </c>
      <c r="B5" s="11" t="str">
        <f>Наблюдение!C22</f>
        <v>Усвоение знаний, успеваемость</v>
      </c>
      <c r="C5" s="11">
        <f>Наблюдение!L22-1</f>
        <v>0</v>
      </c>
      <c r="D5" s="2"/>
      <c r="E5" s="2"/>
    </row>
    <row r="6" spans="1:19" ht="45" x14ac:dyDescent="0.25">
      <c r="A6" s="11" t="s">
        <v>43</v>
      </c>
      <c r="B6" s="11" t="str">
        <f>Наблюдение!C29</f>
        <v>Нравственно-этическая готовность</v>
      </c>
      <c r="C6" s="11">
        <f>Наблюдение!L29-1</f>
        <v>0</v>
      </c>
      <c r="D6" s="2"/>
      <c r="E6" s="2"/>
      <c r="F6" s="19" t="s">
        <v>96</v>
      </c>
      <c r="G6" s="19" t="s">
        <v>97</v>
      </c>
      <c r="H6" s="19" t="s">
        <v>98</v>
      </c>
      <c r="I6" s="19" t="s">
        <v>99</v>
      </c>
      <c r="J6" s="20" t="s">
        <v>100</v>
      </c>
      <c r="K6" s="21" t="s">
        <v>101</v>
      </c>
      <c r="L6" s="21" t="s">
        <v>102</v>
      </c>
      <c r="M6" s="21" t="s">
        <v>103</v>
      </c>
      <c r="N6" s="21" t="s">
        <v>104</v>
      </c>
      <c r="O6" s="21" t="s">
        <v>105</v>
      </c>
      <c r="P6" s="21" t="s">
        <v>106</v>
      </c>
      <c r="Q6" s="21" t="s">
        <v>107</v>
      </c>
      <c r="R6" s="21" t="s">
        <v>108</v>
      </c>
      <c r="S6" s="21" t="s">
        <v>109</v>
      </c>
    </row>
    <row r="7" spans="1:19" x14ac:dyDescent="0.25">
      <c r="A7" s="11" t="s">
        <v>51</v>
      </c>
      <c r="B7" s="11" t="str">
        <f>Наблюдение!C35</f>
        <v>Поведение на уроке</v>
      </c>
      <c r="C7" s="11">
        <f>Наблюдение!L35-1</f>
        <v>0</v>
      </c>
      <c r="D7" s="2"/>
      <c r="E7" s="2" t="s">
        <v>110</v>
      </c>
      <c r="F7" s="2">
        <v>1</v>
      </c>
      <c r="G7" s="2">
        <v>2</v>
      </c>
      <c r="H7" s="2">
        <v>3</v>
      </c>
      <c r="I7" s="22">
        <v>4</v>
      </c>
      <c r="J7" s="22">
        <v>5</v>
      </c>
      <c r="K7" s="22">
        <v>6</v>
      </c>
      <c r="L7" s="22">
        <v>7</v>
      </c>
      <c r="M7" s="22">
        <v>8</v>
      </c>
      <c r="N7" s="22">
        <v>9</v>
      </c>
      <c r="O7" s="22">
        <v>10</v>
      </c>
      <c r="P7" s="22">
        <v>27</v>
      </c>
      <c r="Q7" s="22">
        <v>28</v>
      </c>
      <c r="R7" s="22">
        <v>29</v>
      </c>
      <c r="S7" s="22">
        <v>30</v>
      </c>
    </row>
    <row r="8" spans="1:19" x14ac:dyDescent="0.25">
      <c r="A8" s="11" t="s">
        <v>59</v>
      </c>
      <c r="B8" s="11" t="str">
        <f>Наблюдение!C41</f>
        <v>Поведение вне урока</v>
      </c>
      <c r="C8" s="11">
        <f>Наблюдение!L41-1</f>
        <v>0</v>
      </c>
      <c r="D8" s="2"/>
      <c r="E8" s="2" t="s">
        <v>111</v>
      </c>
      <c r="F8" s="2">
        <f>MAX(Результаты!$C2,1)</f>
        <v>1</v>
      </c>
      <c r="G8" s="2">
        <f>MAX(Результаты!$C3,1)</f>
        <v>1</v>
      </c>
      <c r="H8" s="2">
        <f>MAX(Результаты!$C4,1)</f>
        <v>1</v>
      </c>
      <c r="I8" s="2">
        <f>MAX(Результаты!$C5,1)</f>
        <v>1</v>
      </c>
      <c r="J8" s="2">
        <f>MAX(Результаты!$C6,1)</f>
        <v>1</v>
      </c>
      <c r="K8" s="2">
        <f>MAX(Результаты!$C7,1)</f>
        <v>1</v>
      </c>
      <c r="L8" s="2">
        <f>MAX(Результаты!$C8,1)</f>
        <v>1</v>
      </c>
      <c r="M8" s="2">
        <f>MAX(Результаты!$C9,1)</f>
        <v>1</v>
      </c>
      <c r="N8" s="2">
        <f>MAX(Результаты!$C10,1)</f>
        <v>1</v>
      </c>
      <c r="O8" s="2">
        <f>MAX(Результаты!$C11,1)</f>
        <v>1</v>
      </c>
      <c r="P8">
        <f>ROUND((F8+G8+H8+I8)/4, 0)</f>
        <v>1</v>
      </c>
      <c r="Q8">
        <f>ROUND((J8+K8+L8)/4, 0)</f>
        <v>1</v>
      </c>
      <c r="R8">
        <f>ROUND((M8+N8)/4, 0)</f>
        <v>1</v>
      </c>
      <c r="S8">
        <f>IF(D2&gt;44,5,IF(D2&gt;36,4,IF(D2&gt;26,3,IF(D2&gt;21,2,1))))</f>
        <v>1</v>
      </c>
    </row>
    <row r="9" spans="1:19" x14ac:dyDescent="0.25">
      <c r="A9" s="11" t="s">
        <v>69</v>
      </c>
      <c r="B9" s="11" t="str">
        <f>Наблюдение!C48</f>
        <v>Взаимоотношения с одноклассницами</v>
      </c>
      <c r="C9" s="11">
        <f>Наблюдение!L48-1</f>
        <v>0</v>
      </c>
      <c r="D9" s="2"/>
      <c r="E9" s="2"/>
    </row>
    <row r="10" spans="1:19" x14ac:dyDescent="0.25">
      <c r="A10" s="11" t="s">
        <v>77</v>
      </c>
      <c r="B10" s="11" t="str">
        <f>Наблюдение!C54</f>
        <v>Отношение к учителю</v>
      </c>
      <c r="C10" s="11">
        <f>Наблюдение!L54-1</f>
        <v>0</v>
      </c>
      <c r="D10" s="2"/>
      <c r="E10" s="2"/>
    </row>
    <row r="11" spans="1:19" x14ac:dyDescent="0.25">
      <c r="A11" s="23" t="s">
        <v>85</v>
      </c>
      <c r="B11" s="11" t="str">
        <f>Наблюдение!C60</f>
        <v>Эмоциональное благополучие</v>
      </c>
      <c r="C11" s="11">
        <f>Наблюдение!L61-1</f>
        <v>0</v>
      </c>
      <c r="D11" s="2"/>
      <c r="E11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X_Title_Sheet"/>
  <dimension ref="B1:B7"/>
  <sheetViews>
    <sheetView showGridLines="0" showRowColHeaders="0" tabSelected="1" workbookViewId="0">
      <selection activeCell="H16" sqref="H16"/>
    </sheetView>
  </sheetViews>
  <sheetFormatPr defaultRowHeight="15" x14ac:dyDescent="0.25"/>
  <cols>
    <col min="1" max="1" width="38.140625" customWidth="1"/>
  </cols>
  <sheetData>
    <row r="1" spans="2:2" ht="92.25" customHeight="1" x14ac:dyDescent="0.25"/>
    <row r="2" spans="2:2" x14ac:dyDescent="0.25">
      <c r="B2" t="s">
        <v>1</v>
      </c>
    </row>
    <row r="7" spans="2:2" x14ac:dyDescent="0.25">
      <c r="B7" t="s">
        <v>0</v>
      </c>
    </row>
  </sheetData>
  <sheetProtection algorithmName="SHA-512" hashValue="aA2P6Djn7abpEQwiUfnDJkXqlMSWzbbeiQNvRz+4MSgskkXCyu1r5py4FwfOSxH4QeU69TjuDfkgJSAHJqmsuw==" saltValue="S1FfTft1nnnUdqF6YZ9RTg==" spinCount="100000" sheet="1" objects="1" scenarios="1" selectLockedCells="1" selectUnlockedCells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Group_List">
          <controlPr defaultSize="0" autoLine="0" autoPict="0" r:id="rId5">
            <anchor moveWithCells="1">
              <from>
                <xdr:col>1</xdr:col>
                <xdr:colOff>9525</xdr:colOff>
                <xdr:row>3</xdr:row>
                <xdr:rowOff>9525</xdr:rowOff>
              </from>
              <to>
                <xdr:col>7</xdr:col>
                <xdr:colOff>9525</xdr:colOff>
                <xdr:row>4</xdr:row>
                <xdr:rowOff>66675</xdr:rowOff>
              </to>
            </anchor>
          </controlPr>
        </control>
      </mc:Choice>
      <mc:Fallback>
        <control shapeId="1027" r:id="rId4" name="Group_List"/>
      </mc:Fallback>
    </mc:AlternateContent>
    <mc:AlternateContent xmlns:mc="http://schemas.openxmlformats.org/markup-compatibility/2006">
      <mc:Choice Requires="x14">
        <control shapeId="1026" r:id="rId6" name="Pupil_List">
          <controlPr defaultSize="0" autoLine="0" r:id="rId7">
            <anchor moveWithCells="1">
              <from>
                <xdr:col>1</xdr:col>
                <xdr:colOff>9525</xdr:colOff>
                <xdr:row>8</xdr:row>
                <xdr:rowOff>0</xdr:rowOff>
              </from>
              <to>
                <xdr:col>7</xdr:col>
                <xdr:colOff>9525</xdr:colOff>
                <xdr:row>9</xdr:row>
                <xdr:rowOff>57150</xdr:rowOff>
              </to>
            </anchor>
          </controlPr>
        </control>
      </mc:Choice>
      <mc:Fallback>
        <control shapeId="1026" r:id="rId6" name="Pupil_List"/>
      </mc:Fallback>
    </mc:AlternateContent>
    <mc:AlternateContent xmlns:mc="http://schemas.openxmlformats.org/markup-compatibility/2006">
      <mc:Choice Requires="x14">
        <control shapeId="1031" r:id="rId8" name="Button 7">
          <controlPr defaultSize="0" print="0" autoFill="0" autoPict="0" macro="[0]!ThisWorkbook.Start_Test">
            <anchor moveWithCells="1" sizeWithCells="1">
              <from>
                <xdr:col>1</xdr:col>
                <xdr:colOff>9525</xdr:colOff>
                <xdr:row>11</xdr:row>
                <xdr:rowOff>0</xdr:rowOff>
              </from>
              <to>
                <xdr:col>6</xdr:col>
                <xdr:colOff>600075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9" name="Button 8">
          <controlPr defaultSize="0" print="0" autoFill="0" autoPict="0" macro="[0]!ThisWorkbook.Exit_Module">
            <anchor moveWithCells="1" sizeWithCells="1">
              <from>
                <xdr:col>1</xdr:col>
                <xdr:colOff>19050</xdr:colOff>
                <xdr:row>15</xdr:row>
                <xdr:rowOff>0</xdr:rowOff>
              </from>
              <to>
                <xdr:col>7</xdr:col>
                <xdr:colOff>0</xdr:colOff>
                <xdr:row>17</xdr:row>
                <xdr:rowOff>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X_Metrics_Sheet"/>
  <dimension ref="A1:N5"/>
  <sheetViews>
    <sheetView workbookViewId="0">
      <selection activeCell="A4" sqref="A4"/>
    </sheetView>
  </sheetViews>
  <sheetFormatPr defaultRowHeight="15" x14ac:dyDescent="0.25"/>
  <cols>
    <col min="1" max="14" width="10" customWidth="1"/>
  </cols>
  <sheetData>
    <row r="1" spans="1:14" x14ac:dyDescent="0.25">
      <c r="A1" t="str">
        <f>Результаты!F6</f>
        <v>Александровской 1.1.</v>
      </c>
      <c r="B1" t="str">
        <f>Результаты!G6</f>
        <v>Александровской 1.2.</v>
      </c>
      <c r="C1" t="str">
        <f>Результаты!H6</f>
        <v>Александровской 1.3.</v>
      </c>
      <c r="D1" t="str">
        <f>Результаты!I6</f>
        <v>Александровской 1.4.</v>
      </c>
      <c r="E1" t="str">
        <f>Результаты!J6</f>
        <v>Александровской 2.1.</v>
      </c>
      <c r="F1" t="str">
        <f>Результаты!K6</f>
        <v>Александровской 2.2.</v>
      </c>
      <c r="G1" t="str">
        <f>Результаты!L6</f>
        <v>Александровской 2.3.</v>
      </c>
      <c r="H1" t="str">
        <f>Результаты!M6</f>
        <v>Александровской 3.1.</v>
      </c>
      <c r="I1" t="str">
        <f>Результаты!N6</f>
        <v>Александровской 3.2.</v>
      </c>
      <c r="J1" t="str">
        <f>Результаты!O6</f>
        <v>Александровской 4.</v>
      </c>
      <c r="K1" t="str">
        <f>Результаты!P6</f>
        <v>Александровской 1.</v>
      </c>
      <c r="L1" t="str">
        <f>Результаты!Q6</f>
        <v>Александровской 2.</v>
      </c>
      <c r="M1" t="str">
        <f>Результаты!R6</f>
        <v>Александровской 3.</v>
      </c>
      <c r="N1" t="str">
        <f>Результаты!S6</f>
        <v>Александровской общий</v>
      </c>
    </row>
    <row r="2" spans="1:14" x14ac:dyDescent="0.25">
      <c r="A2">
        <f>Результаты!F7</f>
        <v>1</v>
      </c>
      <c r="B2">
        <f>Результаты!G7</f>
        <v>2</v>
      </c>
      <c r="C2">
        <f>Результаты!H7</f>
        <v>3</v>
      </c>
      <c r="D2">
        <f>Результаты!I7</f>
        <v>4</v>
      </c>
      <c r="E2">
        <f>Результаты!J7</f>
        <v>5</v>
      </c>
      <c r="F2">
        <f>Результаты!K7</f>
        <v>6</v>
      </c>
      <c r="G2">
        <f>Результаты!L7</f>
        <v>7</v>
      </c>
      <c r="H2">
        <f>Результаты!M7</f>
        <v>8</v>
      </c>
      <c r="I2">
        <f>Результаты!N7</f>
        <v>9</v>
      </c>
      <c r="J2">
        <f>Результаты!O7</f>
        <v>10</v>
      </c>
      <c r="K2">
        <f>Результаты!P7</f>
        <v>27</v>
      </c>
      <c r="L2">
        <f>Результаты!Q7</f>
        <v>28</v>
      </c>
      <c r="M2">
        <f>Результаты!R7</f>
        <v>29</v>
      </c>
      <c r="N2">
        <f>Результаты!S7</f>
        <v>30</v>
      </c>
    </row>
    <row r="3" spans="1:14" x14ac:dyDescent="0.25">
      <c r="A3">
        <f>Результаты!F8</f>
        <v>1</v>
      </c>
      <c r="B3">
        <f>Результаты!G8</f>
        <v>1</v>
      </c>
      <c r="C3">
        <f>Результаты!H8</f>
        <v>1</v>
      </c>
      <c r="D3">
        <f>Результаты!I8</f>
        <v>1</v>
      </c>
      <c r="E3">
        <f>Результаты!J8</f>
        <v>1</v>
      </c>
      <c r="F3">
        <f>Результаты!K8</f>
        <v>1</v>
      </c>
      <c r="G3">
        <f>Результаты!L8</f>
        <v>1</v>
      </c>
      <c r="H3">
        <f>Результаты!M8</f>
        <v>1</v>
      </c>
      <c r="I3">
        <f>Результаты!N8</f>
        <v>1</v>
      </c>
      <c r="J3">
        <f>Результаты!O8</f>
        <v>1</v>
      </c>
      <c r="K3">
        <f>Результаты!P8</f>
        <v>1</v>
      </c>
      <c r="L3">
        <f>Результаты!Q8</f>
        <v>1</v>
      </c>
      <c r="M3">
        <f>Результаты!R8</f>
        <v>1</v>
      </c>
      <c r="N3">
        <f>Результаты!S8</f>
        <v>1</v>
      </c>
    </row>
    <row r="4" spans="1:14" x14ac:dyDescent="0.25">
      <c r="A4" s="1"/>
      <c r="B4" s="2"/>
      <c r="C4" s="3"/>
    </row>
    <row r="5" spans="1:14" ht="15.75" thickBot="1" x14ac:dyDescent="0.3">
      <c r="A5" s="4"/>
      <c r="B5" s="5"/>
      <c r="C5" s="6"/>
      <c r="N5" t="str">
        <f>Результаты!E2</f>
        <v>Низкий уровень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1" r:id="rId4" name="CommandButton1">
          <controlPr defaultSize="0" autoLine="0" r:id="rId5">
            <anchor moveWithCells="1">
              <from>
                <xdr:col>6</xdr:col>
                <xdr:colOff>523875</xdr:colOff>
                <xdr:row>14</xdr:row>
                <xdr:rowOff>85725</xdr:rowOff>
              </from>
              <to>
                <xdr:col>11</xdr:col>
                <xdr:colOff>123825</xdr:colOff>
                <xdr:row>19</xdr:row>
                <xdr:rowOff>95250</xdr:rowOff>
              </to>
            </anchor>
          </controlPr>
        </control>
      </mc:Choice>
      <mc:Fallback>
        <control shapeId="7171" r:id="rId4" name="CommandButton1"/>
      </mc:Fallback>
    </mc:AlternateContent>
    <mc:AlternateContent xmlns:mc="http://schemas.openxmlformats.org/markup-compatibility/2006">
      <mc:Choice Requires="x14">
        <control shapeId="7169" r:id="rId6" name="TestRanges">
          <controlPr defaultSize="0" autoLine="0" r:id="rId7">
            <anchor moveWithCells="1">
              <from>
                <xdr:col>1</xdr:col>
                <xdr:colOff>0</xdr:colOff>
                <xdr:row>14</xdr:row>
                <xdr:rowOff>123825</xdr:rowOff>
              </from>
              <to>
                <xdr:col>5</xdr:col>
                <xdr:colOff>266700</xdr:colOff>
                <xdr:row>19</xdr:row>
                <xdr:rowOff>133350</xdr:rowOff>
              </to>
            </anchor>
          </controlPr>
        </control>
      </mc:Choice>
      <mc:Fallback>
        <control shapeId="7169" r:id="rId6" name="TestRanges"/>
      </mc:Fallback>
    </mc:AlternateContent>
    <mc:AlternateContent xmlns:mc="http://schemas.openxmlformats.org/markup-compatibility/2006">
      <mc:Choice Requires="x14">
        <control shapeId="7170" r:id="rId8" name="Button 2">
          <controlPr defaultSize="0" print="0" autoFill="0" autoPict="0" macro="[0]!ThisWorkbook.Complete_Test">
            <anchor moveWithCells="1" sizeWithCells="1">
              <from>
                <xdr:col>1</xdr:col>
                <xdr:colOff>352425</xdr:colOff>
                <xdr:row>10</xdr:row>
                <xdr:rowOff>66675</xdr:rowOff>
              </from>
              <to>
                <xdr:col>5</xdr:col>
                <xdr:colOff>28575</xdr:colOff>
                <xdr:row>12</xdr:row>
                <xdr:rowOff>76200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Наблюдение</vt:lpstr>
      <vt:lpstr>Результаты</vt:lpstr>
      <vt:lpstr>Титульная страница</vt:lpstr>
      <vt:lpstr>Итоговые метрики</vt:lpstr>
    </vt:vector>
  </TitlesOfParts>
  <Company>rg-adguard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2018-06-05T10:50:44Z</dcterms:created>
  <dcterms:modified xsi:type="dcterms:W3CDTF">2018-06-07T01:54:30Z</dcterms:modified>
</cp:coreProperties>
</file>