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5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jects\vladumur\finalized tests\"/>
    </mc:Choice>
  </mc:AlternateContent>
  <bookViews>
    <workbookView xWindow="0" yWindow="0" windowWidth="24705" windowHeight="12255" activeTab="5"/>
  </bookViews>
  <sheets>
    <sheet name="Вопрос 1" sheetId="4" r:id="rId1"/>
    <sheet name="Вопрос 2" sheetId="5" r:id="rId2"/>
    <sheet name="Вопрос 3" sheetId="6" r:id="rId3"/>
    <sheet name="Вопрос 4" sheetId="7" r:id="rId4"/>
    <sheet name="Результаты" sheetId="8" r:id="rId5"/>
    <sheet name="Титульная страница" sheetId="1" r:id="rId6"/>
    <sheet name="Итоговые метрики" sheetId="3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A3" i="3"/>
  <c r="A4" i="3"/>
  <c r="A5" i="3"/>
  <c r="A1" i="3"/>
  <c r="B11" i="8"/>
  <c r="G11" i="8" s="1"/>
  <c r="E10" i="8"/>
  <c r="J10" i="8" s="1"/>
  <c r="B10" i="8"/>
  <c r="G10" i="8" s="1"/>
  <c r="I9" i="8"/>
  <c r="E9" i="8"/>
  <c r="J9" i="8" s="1"/>
  <c r="D9" i="8"/>
  <c r="C9" i="8"/>
  <c r="H9" i="8" s="1"/>
  <c r="B9" i="8"/>
  <c r="G9" i="8" s="1"/>
  <c r="I8" i="8"/>
  <c r="E8" i="8"/>
  <c r="J8" i="8" s="1"/>
  <c r="D8" i="8"/>
  <c r="C8" i="8"/>
  <c r="H8" i="8" s="1"/>
  <c r="B8" i="8"/>
  <c r="G8" i="8" s="1"/>
  <c r="I7" i="8"/>
  <c r="E7" i="8"/>
  <c r="J7" i="8" s="1"/>
  <c r="D7" i="8"/>
  <c r="C7" i="8"/>
  <c r="H7" i="8" s="1"/>
  <c r="B7" i="8"/>
  <c r="G7" i="8" s="1"/>
  <c r="I6" i="8"/>
  <c r="E6" i="8"/>
  <c r="J6" i="8" s="1"/>
  <c r="D6" i="8"/>
  <c r="C6" i="8"/>
  <c r="H6" i="8" s="1"/>
  <c r="B6" i="8"/>
  <c r="G6" i="8" s="1"/>
  <c r="I5" i="8"/>
  <c r="E5" i="8"/>
  <c r="J5" i="8" s="1"/>
  <c r="D5" i="8"/>
  <c r="C5" i="8"/>
  <c r="H5" i="8" s="1"/>
  <c r="B5" i="8"/>
  <c r="G5" i="8" s="1"/>
  <c r="I4" i="8"/>
  <c r="G4" i="8"/>
  <c r="E4" i="8"/>
  <c r="J4" i="8" s="1"/>
  <c r="D4" i="8"/>
  <c r="C4" i="8"/>
  <c r="H4" i="8" s="1"/>
  <c r="B4" i="8"/>
  <c r="I3" i="8"/>
  <c r="E3" i="8"/>
  <c r="J3" i="8" s="1"/>
  <c r="D3" i="8"/>
  <c r="C3" i="8"/>
  <c r="H3" i="8" s="1"/>
  <c r="B3" i="8"/>
  <c r="G3" i="8" s="1"/>
  <c r="I2" i="8"/>
  <c r="I12" i="8" s="1"/>
  <c r="E2" i="8"/>
  <c r="J2" i="8" s="1"/>
  <c r="D2" i="8"/>
  <c r="C2" i="8"/>
  <c r="H2" i="8" s="1"/>
  <c r="B2" i="8"/>
  <c r="G2" i="8" s="1"/>
  <c r="H12" i="8" l="1"/>
  <c r="G12" i="8"/>
  <c r="J12" i="8"/>
  <c r="K12" i="8" l="1"/>
  <c r="F21" i="8" l="1"/>
  <c r="I13" i="8"/>
  <c r="F23" i="8" s="1"/>
</calcChain>
</file>

<file path=xl/sharedStrings.xml><?xml version="1.0" encoding="utf-8"?>
<sst xmlns="http://schemas.openxmlformats.org/spreadsheetml/2006/main" count="82" uniqueCount="35">
  <si>
    <t>Выбор ученика</t>
  </si>
  <si>
    <t>Выбор группы</t>
  </si>
  <si>
    <t xml:space="preserve">Внимательно прочитай каждое неоконченное предложение и предложенные варианты ответов к нему. Выбери для окончания предложения 3 варианта из предлагаемых ответов, самые справедливые и действительные по отношению к тебе. </t>
  </si>
  <si>
    <t>Я стараюсь учиться лучше, чтобы…</t>
  </si>
  <si>
    <t>а)</t>
  </si>
  <si>
    <t>б)</t>
  </si>
  <si>
    <t>в)</t>
  </si>
  <si>
    <t>г)</t>
  </si>
  <si>
    <t>д)</t>
  </si>
  <si>
    <t>е)</t>
  </si>
  <si>
    <t>ж)</t>
  </si>
  <si>
    <t>з)</t>
  </si>
  <si>
    <t>и)</t>
  </si>
  <si>
    <t>к)</t>
  </si>
  <si>
    <t>Я не могу учиться лучше, так как…</t>
  </si>
  <si>
    <t>Если я получаю хорошую отметку, мне больше всего нравится то, что…</t>
  </si>
  <si>
    <t>Если я получаю плохую отметку, мне больше всего не нравится то, что…</t>
  </si>
  <si>
    <t>Варианты ответов</t>
  </si>
  <si>
    <t>Баллы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</si>
  <si>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</si>
  <si>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</si>
  <si>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</si>
  <si>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</si>
  <si>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</si>
  <si>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</si>
  <si>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</si>
  <si>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</si>
  <si>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</si>
  <si>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-</t>
  </si>
  <si>
    <t>к</t>
  </si>
  <si>
    <t>Итого</t>
  </si>
  <si>
    <t>Уровень мотивации:</t>
  </si>
  <si>
    <t>Гинзбурга</t>
  </si>
  <si>
    <t>метрика</t>
  </si>
  <si>
    <t>балл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</si>
</sst>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11"/>
      <color theme="8" tint="0.79998168889431442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0.39997558519241921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double">
        <color theme="4" tint="-0.499984740745262"/>
      </right>
      <top/>
      <bottom/>
      <diagonal/>
    </border>
    <border>
      <left style="double">
        <color theme="4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2" borderId="0" xfId="1" applyFill="1"/>
    <xf numFmtId="0" fontId="2" fillId="2" borderId="9" xfId="1" applyFill="1" applyBorder="1" applyAlignment="1">
      <alignment horizontal="right" indent="1"/>
    </xf>
    <xf numFmtId="0" fontId="6" fillId="2" borderId="10" xfId="1" applyFont="1" applyFill="1" applyBorder="1"/>
    <xf numFmtId="0" fontId="6" fillId="2" borderId="0" xfId="1" applyFont="1" applyFill="1" applyProtection="1">
      <protection locked="0"/>
    </xf>
    <xf numFmtId="0" fontId="6" fillId="2" borderId="0" xfId="1" applyFont="1" applyFill="1"/>
    <xf numFmtId="0" fontId="2" fillId="2" borderId="0" xfId="1" applyFill="1" applyAlignment="1">
      <alignment horizontal="right"/>
    </xf>
    <xf numFmtId="0" fontId="3" fillId="2" borderId="0" xfId="1" applyFont="1" applyFill="1" applyAlignment="1">
      <alignment horizontal="left" indent="3"/>
    </xf>
    <xf numFmtId="0" fontId="7" fillId="2" borderId="0" xfId="1" applyFont="1" applyFill="1"/>
    <xf numFmtId="0" fontId="8" fillId="2" borderId="0" xfId="1" applyFont="1" applyFill="1" applyAlignment="1">
      <alignment horizontal="left" indent="3"/>
    </xf>
    <xf numFmtId="0" fontId="2" fillId="0" borderId="11" xfId="1" applyBorder="1"/>
    <xf numFmtId="0" fontId="2" fillId="5" borderId="11" xfId="1" applyFill="1" applyBorder="1"/>
    <xf numFmtId="0" fontId="2" fillId="0" borderId="0" xfId="1" applyFill="1" applyBorder="1"/>
    <xf numFmtId="0" fontId="2" fillId="0" borderId="0" xfId="1"/>
    <xf numFmtId="0" fontId="2" fillId="6" borderId="11" xfId="1" applyFill="1" applyBorder="1"/>
    <xf numFmtId="0" fontId="2" fillId="0" borderId="0" xfId="1" applyBorder="1"/>
    <xf numFmtId="0" fontId="2" fillId="0" borderId="0" xfId="1" applyBorder="1" applyAlignment="1"/>
    <xf numFmtId="0" fontId="5" fillId="4" borderId="0" xfId="1" applyFont="1" applyFill="1" applyAlignment="1" applyProtection="1">
      <alignment horizontal="center"/>
      <protection locked="0"/>
    </xf>
    <xf numFmtId="0" fontId="3" fillId="3" borderId="6" xfId="1" applyFont="1" applyFill="1" applyBorder="1" applyAlignment="1">
      <alignment horizontal="left" vertical="top" wrapText="1"/>
    </xf>
    <xf numFmtId="0" fontId="3" fillId="3" borderId="7" xfId="1" applyFont="1" applyFill="1" applyBorder="1" applyAlignment="1">
      <alignment horizontal="left" vertical="top" wrapText="1"/>
    </xf>
    <xf numFmtId="0" fontId="3" fillId="3" borderId="8" xfId="1" applyFont="1" applyFill="1" applyBorder="1" applyAlignment="1">
      <alignment horizontal="left" vertical="top" wrapText="1"/>
    </xf>
    <xf numFmtId="0" fontId="4" fillId="2" borderId="0" xfId="1" applyFont="1" applyFill="1" applyAlignment="1">
      <alignment horizontal="left" vertical="center"/>
    </xf>
    <xf numFmtId="0" fontId="2" fillId="5" borderId="11" xfId="1" applyFill="1" applyBorder="1" applyAlignment="1">
      <alignment horizontal="right"/>
    </xf>
    <xf numFmtId="0" fontId="2" fillId="5" borderId="12" xfId="1" applyFill="1" applyBorder="1" applyAlignment="1">
      <alignment horizontal="right"/>
    </xf>
  </cellXfs>
  <cellStyles count="2">
    <cellStyle name="Normal" xfId="0" builtinId="0"/>
    <cellStyle name="Normal 2" xfId="1"/>
  </cellStyles>
  <dxfs count="4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&#1042;&#1086;&#1087;&#1088;&#1086;&#1089; 2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&#1042;&#1086;&#1087;&#1088;&#1086;&#1089; 1'!A1"/><Relationship Id="rId1" Type="http://schemas.openxmlformats.org/officeDocument/2006/relationships/hyperlink" Target="#'&#1042;&#1086;&#1087;&#1088;&#1086;&#1089; 3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&#1042;&#1086;&#1087;&#1088;&#1086;&#1089; 2'!A1"/><Relationship Id="rId1" Type="http://schemas.openxmlformats.org/officeDocument/2006/relationships/hyperlink" Target="#'&#1042;&#1086;&#1087;&#1088;&#1086;&#1089; 4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&#1042;&#1086;&#1087;&#1088;&#1086;&#1089; 3'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29.emf"/><Relationship Id="rId7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Relationship Id="rId9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9525</xdr:rowOff>
        </xdr:from>
        <xdr:to>
          <xdr:col>8</xdr:col>
          <xdr:colOff>0</xdr:colOff>
          <xdr:row>5</xdr:row>
          <xdr:rowOff>19050</xdr:rowOff>
        </xdr:to>
        <xdr:sp macro="" textlink="">
          <xdr:nvSpPr>
            <xdr:cNvPr id="8193" name="CheckBox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9525</xdr:rowOff>
        </xdr:from>
        <xdr:to>
          <xdr:col>7</xdr:col>
          <xdr:colOff>600075</xdr:colOff>
          <xdr:row>6</xdr:row>
          <xdr:rowOff>19050</xdr:rowOff>
        </xdr:to>
        <xdr:sp macro="" textlink="">
          <xdr:nvSpPr>
            <xdr:cNvPr id="8194" name="CheckBox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9525</xdr:rowOff>
        </xdr:from>
        <xdr:to>
          <xdr:col>7</xdr:col>
          <xdr:colOff>600075</xdr:colOff>
          <xdr:row>7</xdr:row>
          <xdr:rowOff>19050</xdr:rowOff>
        </xdr:to>
        <xdr:sp macro="" textlink="">
          <xdr:nvSpPr>
            <xdr:cNvPr id="8195" name="CheckBox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9525</xdr:rowOff>
        </xdr:from>
        <xdr:to>
          <xdr:col>7</xdr:col>
          <xdr:colOff>600075</xdr:colOff>
          <xdr:row>8</xdr:row>
          <xdr:rowOff>19050</xdr:rowOff>
        </xdr:to>
        <xdr:sp macro="" textlink="">
          <xdr:nvSpPr>
            <xdr:cNvPr id="8196" name="CheckBox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9525</xdr:rowOff>
        </xdr:from>
        <xdr:to>
          <xdr:col>8</xdr:col>
          <xdr:colOff>0</xdr:colOff>
          <xdr:row>9</xdr:row>
          <xdr:rowOff>19050</xdr:rowOff>
        </xdr:to>
        <xdr:sp macro="" textlink="">
          <xdr:nvSpPr>
            <xdr:cNvPr id="8197" name="CheckBox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9525</xdr:rowOff>
        </xdr:from>
        <xdr:to>
          <xdr:col>7</xdr:col>
          <xdr:colOff>600075</xdr:colOff>
          <xdr:row>10</xdr:row>
          <xdr:rowOff>19050</xdr:rowOff>
        </xdr:to>
        <xdr:sp macro="" textlink="">
          <xdr:nvSpPr>
            <xdr:cNvPr id="8198" name="CheckBox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9525</xdr:rowOff>
        </xdr:from>
        <xdr:to>
          <xdr:col>8</xdr:col>
          <xdr:colOff>0</xdr:colOff>
          <xdr:row>11</xdr:row>
          <xdr:rowOff>19050</xdr:rowOff>
        </xdr:to>
        <xdr:sp macro="" textlink="">
          <xdr:nvSpPr>
            <xdr:cNvPr id="8199" name="CheckBox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11</xdr:row>
          <xdr:rowOff>9525</xdr:rowOff>
        </xdr:from>
        <xdr:to>
          <xdr:col>7</xdr:col>
          <xdr:colOff>600075</xdr:colOff>
          <xdr:row>12</xdr:row>
          <xdr:rowOff>19050</xdr:rowOff>
        </xdr:to>
        <xdr:sp macro="" textlink="">
          <xdr:nvSpPr>
            <xdr:cNvPr id="8200" name="CheckBox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8</xdr:col>
          <xdr:colOff>9525</xdr:colOff>
          <xdr:row>13</xdr:row>
          <xdr:rowOff>19050</xdr:rowOff>
        </xdr:to>
        <xdr:sp macro="" textlink="">
          <xdr:nvSpPr>
            <xdr:cNvPr id="8201" name="CheckBox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7</xdr:col>
          <xdr:colOff>600075</xdr:colOff>
          <xdr:row>14</xdr:row>
          <xdr:rowOff>19050</xdr:rowOff>
        </xdr:to>
        <xdr:sp macro="" textlink="">
          <xdr:nvSpPr>
            <xdr:cNvPr id="8202" name="CheckBox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610912</xdr:colOff>
      <xdr:row>14</xdr:row>
      <xdr:rowOff>78828</xdr:rowOff>
    </xdr:from>
    <xdr:to>
      <xdr:col>7</xdr:col>
      <xdr:colOff>597775</xdr:colOff>
      <xdr:row>16</xdr:row>
      <xdr:rowOff>59122</xdr:rowOff>
    </xdr:to>
    <xdr:sp macro="" textlink="">
      <xdr:nvSpPr>
        <xdr:cNvPr id="12" name="Прямоугольник 1">
          <a:hlinkClick xmlns:r="http://schemas.openxmlformats.org/officeDocument/2006/relationships" r:id="rId1"/>
        </xdr:cNvPr>
        <xdr:cNvSpPr/>
      </xdr:nvSpPr>
      <xdr:spPr>
        <a:xfrm>
          <a:off x="3049312" y="3269703"/>
          <a:ext cx="1815663" cy="361294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Следующий вопрос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9525</xdr:rowOff>
        </xdr:from>
        <xdr:to>
          <xdr:col>8</xdr:col>
          <xdr:colOff>0</xdr:colOff>
          <xdr:row>5</xdr:row>
          <xdr:rowOff>19050</xdr:rowOff>
        </xdr:to>
        <xdr:sp macro="" textlink="">
          <xdr:nvSpPr>
            <xdr:cNvPr id="9217" name="CheckBox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9525</xdr:rowOff>
        </xdr:from>
        <xdr:to>
          <xdr:col>8</xdr:col>
          <xdr:colOff>0</xdr:colOff>
          <xdr:row>6</xdr:row>
          <xdr:rowOff>19050</xdr:rowOff>
        </xdr:to>
        <xdr:sp macro="" textlink="">
          <xdr:nvSpPr>
            <xdr:cNvPr id="9218" name="CheckBox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9525</xdr:rowOff>
        </xdr:from>
        <xdr:to>
          <xdr:col>8</xdr:col>
          <xdr:colOff>9525</xdr:colOff>
          <xdr:row>7</xdr:row>
          <xdr:rowOff>19050</xdr:rowOff>
        </xdr:to>
        <xdr:sp macro="" textlink="">
          <xdr:nvSpPr>
            <xdr:cNvPr id="9219" name="CheckBox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9525</xdr:rowOff>
        </xdr:from>
        <xdr:to>
          <xdr:col>8</xdr:col>
          <xdr:colOff>9525</xdr:colOff>
          <xdr:row>8</xdr:row>
          <xdr:rowOff>19050</xdr:rowOff>
        </xdr:to>
        <xdr:sp macro="" textlink="">
          <xdr:nvSpPr>
            <xdr:cNvPr id="9220" name="CheckBox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9525</xdr:rowOff>
        </xdr:from>
        <xdr:to>
          <xdr:col>7</xdr:col>
          <xdr:colOff>600075</xdr:colOff>
          <xdr:row>9</xdr:row>
          <xdr:rowOff>19050</xdr:rowOff>
        </xdr:to>
        <xdr:sp macro="" textlink="">
          <xdr:nvSpPr>
            <xdr:cNvPr id="9221" name="CheckBox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9525</xdr:rowOff>
        </xdr:from>
        <xdr:to>
          <xdr:col>8</xdr:col>
          <xdr:colOff>0</xdr:colOff>
          <xdr:row>10</xdr:row>
          <xdr:rowOff>19050</xdr:rowOff>
        </xdr:to>
        <xdr:sp macro="" textlink="">
          <xdr:nvSpPr>
            <xdr:cNvPr id="9222" name="CheckBox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9525</xdr:rowOff>
        </xdr:from>
        <xdr:to>
          <xdr:col>8</xdr:col>
          <xdr:colOff>0</xdr:colOff>
          <xdr:row>11</xdr:row>
          <xdr:rowOff>19050</xdr:rowOff>
        </xdr:to>
        <xdr:sp macro="" textlink="">
          <xdr:nvSpPr>
            <xdr:cNvPr id="9223" name="CheckBox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11</xdr:row>
          <xdr:rowOff>9525</xdr:rowOff>
        </xdr:from>
        <xdr:to>
          <xdr:col>8</xdr:col>
          <xdr:colOff>9525</xdr:colOff>
          <xdr:row>12</xdr:row>
          <xdr:rowOff>19050</xdr:rowOff>
        </xdr:to>
        <xdr:sp macro="" textlink="">
          <xdr:nvSpPr>
            <xdr:cNvPr id="9224" name="CheckBox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610690</xdr:colOff>
      <xdr:row>12</xdr:row>
      <xdr:rowOff>88848</xdr:rowOff>
    </xdr:from>
    <xdr:to>
      <xdr:col>7</xdr:col>
      <xdr:colOff>598220</xdr:colOff>
      <xdr:row>14</xdr:row>
      <xdr:rowOff>29395</xdr:rowOff>
    </xdr:to>
    <xdr:sp macro="" textlink="">
      <xdr:nvSpPr>
        <xdr:cNvPr id="10" name="Прямоугольник 9">
          <a:hlinkClick xmlns:r="http://schemas.openxmlformats.org/officeDocument/2006/relationships" r:id="rId1"/>
        </xdr:cNvPr>
        <xdr:cNvSpPr/>
      </xdr:nvSpPr>
      <xdr:spPr>
        <a:xfrm>
          <a:off x="3049090" y="2860623"/>
          <a:ext cx="1816330" cy="359647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Следующий вопрос</a:t>
          </a:r>
        </a:p>
      </xdr:txBody>
    </xdr:sp>
    <xdr:clientData/>
  </xdr:twoCellAnchor>
  <xdr:twoCellAnchor>
    <xdr:from>
      <xdr:col>1</xdr:col>
      <xdr:colOff>16948</xdr:colOff>
      <xdr:row>12</xdr:row>
      <xdr:rowOff>93673</xdr:rowOff>
    </xdr:from>
    <xdr:to>
      <xdr:col>4</xdr:col>
      <xdr:colOff>3812</xdr:colOff>
      <xdr:row>14</xdr:row>
      <xdr:rowOff>33897</xdr:rowOff>
    </xdr:to>
    <xdr:sp macro="" textlink="">
      <xdr:nvSpPr>
        <xdr:cNvPr id="11" name="Прямоугольник 10">
          <a:hlinkClick xmlns:r="http://schemas.openxmlformats.org/officeDocument/2006/relationships" r:id="rId2"/>
        </xdr:cNvPr>
        <xdr:cNvSpPr/>
      </xdr:nvSpPr>
      <xdr:spPr>
        <a:xfrm>
          <a:off x="626548" y="2865448"/>
          <a:ext cx="1815664" cy="359324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Предыдущий вопрос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9525</xdr:rowOff>
        </xdr:from>
        <xdr:to>
          <xdr:col>8</xdr:col>
          <xdr:colOff>0</xdr:colOff>
          <xdr:row>5</xdr:row>
          <xdr:rowOff>19050</xdr:rowOff>
        </xdr:to>
        <xdr:sp macro="" textlink="">
          <xdr:nvSpPr>
            <xdr:cNvPr id="10241" name="CheckBox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9525</xdr:rowOff>
        </xdr:from>
        <xdr:to>
          <xdr:col>8</xdr:col>
          <xdr:colOff>0</xdr:colOff>
          <xdr:row>6</xdr:row>
          <xdr:rowOff>19050</xdr:rowOff>
        </xdr:to>
        <xdr:sp macro="" textlink="">
          <xdr:nvSpPr>
            <xdr:cNvPr id="10242" name="CheckBox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9525</xdr:rowOff>
        </xdr:from>
        <xdr:to>
          <xdr:col>8</xdr:col>
          <xdr:colOff>0</xdr:colOff>
          <xdr:row>7</xdr:row>
          <xdr:rowOff>19050</xdr:rowOff>
        </xdr:to>
        <xdr:sp macro="" textlink="">
          <xdr:nvSpPr>
            <xdr:cNvPr id="10243" name="CheckBox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9525</xdr:rowOff>
        </xdr:from>
        <xdr:to>
          <xdr:col>8</xdr:col>
          <xdr:colOff>0</xdr:colOff>
          <xdr:row>8</xdr:row>
          <xdr:rowOff>19050</xdr:rowOff>
        </xdr:to>
        <xdr:sp macro="" textlink="">
          <xdr:nvSpPr>
            <xdr:cNvPr id="10244" name="CheckBox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9525</xdr:rowOff>
        </xdr:from>
        <xdr:to>
          <xdr:col>7</xdr:col>
          <xdr:colOff>600075</xdr:colOff>
          <xdr:row>9</xdr:row>
          <xdr:rowOff>19050</xdr:rowOff>
        </xdr:to>
        <xdr:sp macro="" textlink="">
          <xdr:nvSpPr>
            <xdr:cNvPr id="10245" name="CheckBox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9525</xdr:rowOff>
        </xdr:from>
        <xdr:to>
          <xdr:col>8</xdr:col>
          <xdr:colOff>0</xdr:colOff>
          <xdr:row>10</xdr:row>
          <xdr:rowOff>19050</xdr:rowOff>
        </xdr:to>
        <xdr:sp macro="" textlink="">
          <xdr:nvSpPr>
            <xdr:cNvPr id="10246" name="CheckBox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9525</xdr:rowOff>
        </xdr:from>
        <xdr:to>
          <xdr:col>8</xdr:col>
          <xdr:colOff>9525</xdr:colOff>
          <xdr:row>11</xdr:row>
          <xdr:rowOff>19050</xdr:rowOff>
        </xdr:to>
        <xdr:sp macro="" textlink="">
          <xdr:nvSpPr>
            <xdr:cNvPr id="10247" name="CheckBox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11</xdr:row>
          <xdr:rowOff>9525</xdr:rowOff>
        </xdr:from>
        <xdr:to>
          <xdr:col>8</xdr:col>
          <xdr:colOff>0</xdr:colOff>
          <xdr:row>12</xdr:row>
          <xdr:rowOff>19050</xdr:rowOff>
        </xdr:to>
        <xdr:sp macro="" textlink="">
          <xdr:nvSpPr>
            <xdr:cNvPr id="10248" name="CheckBox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2535</xdr:colOff>
      <xdr:row>12</xdr:row>
      <xdr:rowOff>91194</xdr:rowOff>
    </xdr:from>
    <xdr:to>
      <xdr:col>7</xdr:col>
      <xdr:colOff>600979</xdr:colOff>
      <xdr:row>14</xdr:row>
      <xdr:rowOff>31741</xdr:rowOff>
    </xdr:to>
    <xdr:sp macro="" textlink="">
      <xdr:nvSpPr>
        <xdr:cNvPr id="10" name="Прямоугольник 9">
          <a:hlinkClick xmlns:r="http://schemas.openxmlformats.org/officeDocument/2006/relationships" r:id="rId1"/>
        </xdr:cNvPr>
        <xdr:cNvSpPr/>
      </xdr:nvSpPr>
      <xdr:spPr>
        <a:xfrm>
          <a:off x="3050535" y="2862969"/>
          <a:ext cx="1817644" cy="359647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Следующий вопрос</a:t>
          </a:r>
        </a:p>
      </xdr:txBody>
    </xdr:sp>
    <xdr:clientData/>
  </xdr:twoCellAnchor>
  <xdr:twoCellAnchor>
    <xdr:from>
      <xdr:col>1</xdr:col>
      <xdr:colOff>13138</xdr:colOff>
      <xdr:row>12</xdr:row>
      <xdr:rowOff>98535</xdr:rowOff>
    </xdr:from>
    <xdr:to>
      <xdr:col>4</xdr:col>
      <xdr:colOff>2</xdr:colOff>
      <xdr:row>14</xdr:row>
      <xdr:rowOff>38759</xdr:rowOff>
    </xdr:to>
    <xdr:sp macro="" textlink="">
      <xdr:nvSpPr>
        <xdr:cNvPr id="11" name="Прямоугольник 10">
          <a:hlinkClick xmlns:r="http://schemas.openxmlformats.org/officeDocument/2006/relationships" r:id="rId2"/>
        </xdr:cNvPr>
        <xdr:cNvSpPr/>
      </xdr:nvSpPr>
      <xdr:spPr>
        <a:xfrm>
          <a:off x="622738" y="2870310"/>
          <a:ext cx="1815664" cy="359324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Предыдущий вопрос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9525</xdr:rowOff>
        </xdr:from>
        <xdr:to>
          <xdr:col>7</xdr:col>
          <xdr:colOff>600075</xdr:colOff>
          <xdr:row>5</xdr:row>
          <xdr:rowOff>19050</xdr:rowOff>
        </xdr:to>
        <xdr:sp macro="" textlink="">
          <xdr:nvSpPr>
            <xdr:cNvPr id="11265" name="CheckBox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9525</xdr:rowOff>
        </xdr:from>
        <xdr:to>
          <xdr:col>7</xdr:col>
          <xdr:colOff>600075</xdr:colOff>
          <xdr:row>6</xdr:row>
          <xdr:rowOff>19050</xdr:rowOff>
        </xdr:to>
        <xdr:sp macro="" textlink="">
          <xdr:nvSpPr>
            <xdr:cNvPr id="11266" name="CheckBox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9525</xdr:rowOff>
        </xdr:from>
        <xdr:to>
          <xdr:col>8</xdr:col>
          <xdr:colOff>0</xdr:colOff>
          <xdr:row>7</xdr:row>
          <xdr:rowOff>19050</xdr:rowOff>
        </xdr:to>
        <xdr:sp macro="" textlink="">
          <xdr:nvSpPr>
            <xdr:cNvPr id="11267" name="CheckBox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9525</xdr:rowOff>
        </xdr:from>
        <xdr:to>
          <xdr:col>8</xdr:col>
          <xdr:colOff>0</xdr:colOff>
          <xdr:row>8</xdr:row>
          <xdr:rowOff>19050</xdr:rowOff>
        </xdr:to>
        <xdr:sp macro="" textlink="">
          <xdr:nvSpPr>
            <xdr:cNvPr id="11268" name="CheckBox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9525</xdr:rowOff>
        </xdr:from>
        <xdr:to>
          <xdr:col>8</xdr:col>
          <xdr:colOff>9525</xdr:colOff>
          <xdr:row>9</xdr:row>
          <xdr:rowOff>19050</xdr:rowOff>
        </xdr:to>
        <xdr:sp macro="" textlink="">
          <xdr:nvSpPr>
            <xdr:cNvPr id="11269" name="CheckBox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9525</xdr:rowOff>
        </xdr:from>
        <xdr:to>
          <xdr:col>8</xdr:col>
          <xdr:colOff>9525</xdr:colOff>
          <xdr:row>10</xdr:row>
          <xdr:rowOff>19050</xdr:rowOff>
        </xdr:to>
        <xdr:sp macro="" textlink="">
          <xdr:nvSpPr>
            <xdr:cNvPr id="11270" name="CheckBox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9525</xdr:rowOff>
        </xdr:from>
        <xdr:to>
          <xdr:col>8</xdr:col>
          <xdr:colOff>9525</xdr:colOff>
          <xdr:row>11</xdr:row>
          <xdr:rowOff>19050</xdr:rowOff>
        </xdr:to>
        <xdr:sp macro="" textlink="">
          <xdr:nvSpPr>
            <xdr:cNvPr id="11271" name="CheckBox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11</xdr:row>
          <xdr:rowOff>9525</xdr:rowOff>
        </xdr:from>
        <xdr:to>
          <xdr:col>8</xdr:col>
          <xdr:colOff>9525</xdr:colOff>
          <xdr:row>12</xdr:row>
          <xdr:rowOff>19050</xdr:rowOff>
        </xdr:to>
        <xdr:sp macro="" textlink="">
          <xdr:nvSpPr>
            <xdr:cNvPr id="11272" name="CheckBox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8</xdr:col>
          <xdr:colOff>0</xdr:colOff>
          <xdr:row>13</xdr:row>
          <xdr:rowOff>19050</xdr:rowOff>
        </xdr:to>
        <xdr:sp macro="" textlink="">
          <xdr:nvSpPr>
            <xdr:cNvPr id="11273" name="CheckBox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10205</xdr:colOff>
      <xdr:row>13</xdr:row>
      <xdr:rowOff>99004</xdr:rowOff>
    </xdr:from>
    <xdr:to>
      <xdr:col>3</xdr:col>
      <xdr:colOff>607983</xdr:colOff>
      <xdr:row>15</xdr:row>
      <xdr:rowOff>58935</xdr:rowOff>
    </xdr:to>
    <xdr:sp macro="" textlink="">
      <xdr:nvSpPr>
        <xdr:cNvPr id="11" name="Прямоугольник 14">
          <a:hlinkClick xmlns:r="http://schemas.openxmlformats.org/officeDocument/2006/relationships" r:id="rId1"/>
        </xdr:cNvPr>
        <xdr:cNvSpPr/>
      </xdr:nvSpPr>
      <xdr:spPr>
        <a:xfrm>
          <a:off x="619805" y="3080329"/>
          <a:ext cx="1816978" cy="359981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Предыдущий вопрос</a:t>
          </a:r>
        </a:p>
      </xdr:txBody>
    </xdr:sp>
    <xdr:clientData/>
  </xdr:twoCellAnchor>
  <xdr:twoCellAnchor>
    <xdr:from>
      <xdr:col>4</xdr:col>
      <xdr:colOff>607069</xdr:colOff>
      <xdr:row>13</xdr:row>
      <xdr:rowOff>101259</xdr:rowOff>
    </xdr:from>
    <xdr:to>
      <xdr:col>7</xdr:col>
      <xdr:colOff>594599</xdr:colOff>
      <xdr:row>15</xdr:row>
      <xdr:rowOff>61513</xdr:rowOff>
    </xdr:to>
    <xdr:sp macro="[0]!ThisWorkbook.Complete_Test" textlink="">
      <xdr:nvSpPr>
        <xdr:cNvPr id="12" name="Прямоугольник 15"/>
        <xdr:cNvSpPr/>
      </xdr:nvSpPr>
      <xdr:spPr>
        <a:xfrm>
          <a:off x="3045469" y="3082584"/>
          <a:ext cx="1816330" cy="360304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Завершить тест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57150</xdr:rowOff>
        </xdr:to>
        <xdr:sp macro="" textlink="">
          <xdr:nvSpPr>
            <xdr:cNvPr id="1026" name="Pupil_Lis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7</xdr:col>
          <xdr:colOff>9525</xdr:colOff>
          <xdr:row>4</xdr:row>
          <xdr:rowOff>66675</xdr:rowOff>
        </xdr:to>
        <xdr:sp macro="" textlink="">
          <xdr:nvSpPr>
            <xdr:cNvPr id="1027" name="Group_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6</xdr:col>
          <xdr:colOff>600075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модуль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14</xdr:row>
          <xdr:rowOff>123825</xdr:rowOff>
        </xdr:from>
        <xdr:to>
          <xdr:col>2</xdr:col>
          <xdr:colOff>1019175</xdr:colOff>
          <xdr:row>19</xdr:row>
          <xdr:rowOff>133350</xdr:rowOff>
        </xdr:to>
        <xdr:sp macro="" textlink="">
          <xdr:nvSpPr>
            <xdr:cNvPr id="7169" name="TestRange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1047750</xdr:colOff>
          <xdr:row>8</xdr:row>
          <xdr:rowOff>171450</xdr:rowOff>
        </xdr:from>
        <xdr:to>
          <xdr:col>4</xdr:col>
          <xdr:colOff>609600</xdr:colOff>
          <xdr:row>10</xdr:row>
          <xdr:rowOff>180975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Завершить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152400</xdr:rowOff>
        </xdr:from>
        <xdr:to>
          <xdr:col>3</xdr:col>
          <xdr:colOff>2990850</xdr:colOff>
          <xdr:row>19</xdr:row>
          <xdr:rowOff>161925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ntrol" Target="../activeX/activeX2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openxmlformats.org/officeDocument/2006/relationships/image" Target="../media/image26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18" Type="http://schemas.openxmlformats.org/officeDocument/2006/relationships/control" Target="../activeX/activeX34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5.emf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17" Type="http://schemas.openxmlformats.org/officeDocument/2006/relationships/image" Target="../media/image3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19" Type="http://schemas.openxmlformats.org/officeDocument/2006/relationships/image" Target="../media/image34.emf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7.xml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Relationship Id="rId9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14"/>
  <sheetViews>
    <sheetView showGridLines="0" zoomScale="145" zoomScaleNormal="145" workbookViewId="0">
      <selection activeCell="B3" sqref="B3"/>
    </sheetView>
  </sheetViews>
  <sheetFormatPr defaultRowHeight="15" x14ac:dyDescent="0.25"/>
  <cols>
    <col min="1" max="13" width="9.140625" style="7"/>
    <col min="14" max="14" width="13.140625" style="7" customWidth="1"/>
    <col min="15" max="16384" width="9.140625" style="7"/>
  </cols>
  <sheetData>
    <row r="1" spans="1:14" ht="15.75" thickBot="1" x14ac:dyDescent="0.3"/>
    <row r="2" spans="1:14" ht="36.75" customHeight="1" thickBot="1" x14ac:dyDescent="0.3">
      <c r="B2" s="24" t="s">
        <v>2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6"/>
    </row>
    <row r="4" spans="1:14" ht="18.75" x14ac:dyDescent="0.25">
      <c r="B4" s="27" t="s">
        <v>3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ht="17.100000000000001" customHeight="1" x14ac:dyDescent="0.25">
      <c r="A5" s="8" t="s">
        <v>4</v>
      </c>
      <c r="B5" s="23" t="b">
        <v>0</v>
      </c>
      <c r="C5" s="23"/>
      <c r="D5" s="23"/>
      <c r="E5" s="23"/>
      <c r="F5" s="23"/>
      <c r="G5" s="23"/>
      <c r="H5" s="23"/>
      <c r="I5" s="9"/>
      <c r="J5" s="10">
        <v>0</v>
      </c>
    </row>
    <row r="6" spans="1:14" ht="17.100000000000001" customHeight="1" x14ac:dyDescent="0.25">
      <c r="A6" s="8" t="s">
        <v>5</v>
      </c>
      <c r="B6" s="23" t="b">
        <v>0</v>
      </c>
      <c r="C6" s="23"/>
      <c r="D6" s="23"/>
      <c r="E6" s="23"/>
      <c r="F6" s="23"/>
      <c r="G6" s="23"/>
      <c r="H6" s="23"/>
      <c r="I6" s="9"/>
      <c r="J6" s="11"/>
    </row>
    <row r="7" spans="1:14" ht="17.100000000000001" customHeight="1" x14ac:dyDescent="0.25">
      <c r="A7" s="8" t="s">
        <v>6</v>
      </c>
      <c r="B7" s="23" t="b">
        <v>0</v>
      </c>
      <c r="C7" s="23"/>
      <c r="D7" s="23"/>
      <c r="E7" s="23"/>
      <c r="F7" s="23"/>
      <c r="G7" s="23"/>
      <c r="H7" s="23"/>
      <c r="I7" s="9"/>
      <c r="J7" s="11"/>
    </row>
    <row r="8" spans="1:14" ht="17.100000000000001" customHeight="1" x14ac:dyDescent="0.25">
      <c r="A8" s="8" t="s">
        <v>7</v>
      </c>
      <c r="B8" s="23" t="b">
        <v>0</v>
      </c>
      <c r="C8" s="23"/>
      <c r="D8" s="23"/>
      <c r="E8" s="23"/>
      <c r="F8" s="23"/>
      <c r="G8" s="23"/>
      <c r="H8" s="23"/>
      <c r="I8" s="9"/>
      <c r="J8" s="11"/>
    </row>
    <row r="9" spans="1:14" ht="17.100000000000001" customHeight="1" x14ac:dyDescent="0.25">
      <c r="A9" s="8" t="s">
        <v>8</v>
      </c>
      <c r="B9" s="23" t="b">
        <v>0</v>
      </c>
      <c r="C9" s="23"/>
      <c r="D9" s="23"/>
      <c r="E9" s="23"/>
      <c r="F9" s="23"/>
      <c r="G9" s="23"/>
      <c r="H9" s="23"/>
      <c r="I9" s="9"/>
      <c r="J9" s="11"/>
    </row>
    <row r="10" spans="1:14" ht="17.100000000000001" customHeight="1" x14ac:dyDescent="0.25">
      <c r="A10" s="8" t="s">
        <v>9</v>
      </c>
      <c r="B10" s="23" t="b">
        <v>0</v>
      </c>
      <c r="C10" s="23"/>
      <c r="D10" s="23"/>
      <c r="E10" s="23"/>
      <c r="F10" s="23"/>
      <c r="G10" s="23"/>
      <c r="H10" s="23"/>
      <c r="I10" s="9"/>
      <c r="J10" s="11"/>
    </row>
    <row r="11" spans="1:14" ht="17.100000000000001" customHeight="1" x14ac:dyDescent="0.25">
      <c r="A11" s="8" t="s">
        <v>10</v>
      </c>
      <c r="B11" s="23" t="b">
        <v>0</v>
      </c>
      <c r="C11" s="23"/>
      <c r="D11" s="23"/>
      <c r="E11" s="23"/>
      <c r="F11" s="23"/>
      <c r="G11" s="23"/>
      <c r="H11" s="23"/>
      <c r="I11" s="9"/>
      <c r="J11" s="11"/>
    </row>
    <row r="12" spans="1:14" ht="17.100000000000001" customHeight="1" x14ac:dyDescent="0.25">
      <c r="A12" s="8" t="s">
        <v>11</v>
      </c>
      <c r="B12" s="23" t="b">
        <v>0</v>
      </c>
      <c r="C12" s="23"/>
      <c r="D12" s="23"/>
      <c r="E12" s="23"/>
      <c r="F12" s="23"/>
      <c r="G12" s="23"/>
      <c r="H12" s="23"/>
      <c r="I12" s="9"/>
      <c r="J12" s="11"/>
    </row>
    <row r="13" spans="1:14" ht="17.100000000000001" customHeight="1" x14ac:dyDescent="0.25">
      <c r="A13" s="8" t="s">
        <v>12</v>
      </c>
      <c r="B13" s="23" t="b">
        <v>0</v>
      </c>
      <c r="C13" s="23"/>
      <c r="D13" s="23"/>
      <c r="E13" s="23"/>
      <c r="F13" s="23"/>
      <c r="G13" s="23"/>
      <c r="H13" s="23"/>
      <c r="I13" s="9"/>
      <c r="J13" s="11"/>
    </row>
    <row r="14" spans="1:14" ht="17.100000000000001" customHeight="1" x14ac:dyDescent="0.25">
      <c r="A14" s="8" t="s">
        <v>13</v>
      </c>
      <c r="B14" s="23" t="b">
        <v>0</v>
      </c>
      <c r="C14" s="23"/>
      <c r="D14" s="23"/>
      <c r="E14" s="23"/>
      <c r="F14" s="23"/>
      <c r="G14" s="23"/>
      <c r="H14" s="23"/>
      <c r="I14" s="9"/>
      <c r="J14" s="11"/>
    </row>
  </sheetData>
  <sheetProtection algorithmName="SHA-512" hashValue="Fm/0oh8wEEUDPYg4T9rMUUcYAHkrGB4cOCyc8D/FdOEW8AeQqDvtRKnrcdXWQ9dfbbHODGVTYlue/1kbJqa9+Q==" saltValue="jdfpZV+hHBMu4H5PPWIkXw==" spinCount="100000" sheet="1" objects="1" scenarios="1" selectLockedCells="1" selectUnlockedCells="1"/>
  <mergeCells count="12">
    <mergeCell ref="B14:H14"/>
    <mergeCell ref="B2:N2"/>
    <mergeCell ref="B4:N4"/>
    <mergeCell ref="B5:H5"/>
    <mergeCell ref="B6:H6"/>
    <mergeCell ref="B7:H7"/>
    <mergeCell ref="B8:H8"/>
    <mergeCell ref="B9:H9"/>
    <mergeCell ref="B10:H10"/>
    <mergeCell ref="B11:H11"/>
    <mergeCell ref="B12:H12"/>
    <mergeCell ref="B13:H13"/>
  </mergeCells>
  <conditionalFormatting sqref="B5:H14">
    <cfRule type="containsText" dxfId="3" priority="1" operator="containsText" text="ИСТИНА">
      <formula>NOT(ISERROR(SEARCH("ИСТИНА",B5)))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heckBox1">
          <controlPr autoLine="0" linkedCell="B5" r:id="rId5">
            <anchor moveWithCells="1">
              <from>
                <xdr:col>1</xdr:col>
                <xdr:colOff>28575</xdr:colOff>
                <xdr:row>4</xdr:row>
                <xdr:rowOff>9525</xdr:rowOff>
              </from>
              <to>
                <xdr:col>8</xdr:col>
                <xdr:colOff>0</xdr:colOff>
                <xdr:row>5</xdr:row>
                <xdr:rowOff>19050</xdr:rowOff>
              </to>
            </anchor>
          </controlPr>
        </control>
      </mc:Choice>
      <mc:Fallback>
        <control shapeId="8193" r:id="rId4" name="CheckBox1"/>
      </mc:Fallback>
    </mc:AlternateContent>
    <mc:AlternateContent xmlns:mc="http://schemas.openxmlformats.org/markup-compatibility/2006">
      <mc:Choice Requires="x14">
        <control shapeId="8194" r:id="rId6" name="CheckBox2">
          <controlPr autoLine="0" linkedCell="B6" r:id="rId7">
            <anchor moveWithCells="1">
              <from>
                <xdr:col>1</xdr:col>
                <xdr:colOff>28575</xdr:colOff>
                <xdr:row>5</xdr:row>
                <xdr:rowOff>9525</xdr:rowOff>
              </from>
              <to>
                <xdr:col>7</xdr:col>
                <xdr:colOff>600075</xdr:colOff>
                <xdr:row>6</xdr:row>
                <xdr:rowOff>19050</xdr:rowOff>
              </to>
            </anchor>
          </controlPr>
        </control>
      </mc:Choice>
      <mc:Fallback>
        <control shapeId="8194" r:id="rId6" name="CheckBox2"/>
      </mc:Fallback>
    </mc:AlternateContent>
    <mc:AlternateContent xmlns:mc="http://schemas.openxmlformats.org/markup-compatibility/2006">
      <mc:Choice Requires="x14">
        <control shapeId="8195" r:id="rId8" name="CheckBox3">
          <controlPr autoLine="0" linkedCell="B7" r:id="rId9">
            <anchor moveWithCells="1">
              <from>
                <xdr:col>1</xdr:col>
                <xdr:colOff>28575</xdr:colOff>
                <xdr:row>6</xdr:row>
                <xdr:rowOff>9525</xdr:rowOff>
              </from>
              <to>
                <xdr:col>7</xdr:col>
                <xdr:colOff>600075</xdr:colOff>
                <xdr:row>7</xdr:row>
                <xdr:rowOff>19050</xdr:rowOff>
              </to>
            </anchor>
          </controlPr>
        </control>
      </mc:Choice>
      <mc:Fallback>
        <control shapeId="8195" r:id="rId8" name="CheckBox3"/>
      </mc:Fallback>
    </mc:AlternateContent>
    <mc:AlternateContent xmlns:mc="http://schemas.openxmlformats.org/markup-compatibility/2006">
      <mc:Choice Requires="x14">
        <control shapeId="8196" r:id="rId10" name="CheckBox4">
          <controlPr autoLine="0" linkedCell="B8" r:id="rId11">
            <anchor moveWithCells="1">
              <from>
                <xdr:col>1</xdr:col>
                <xdr:colOff>28575</xdr:colOff>
                <xdr:row>7</xdr:row>
                <xdr:rowOff>9525</xdr:rowOff>
              </from>
              <to>
                <xdr:col>7</xdr:col>
                <xdr:colOff>600075</xdr:colOff>
                <xdr:row>8</xdr:row>
                <xdr:rowOff>19050</xdr:rowOff>
              </to>
            </anchor>
          </controlPr>
        </control>
      </mc:Choice>
      <mc:Fallback>
        <control shapeId="8196" r:id="rId10" name="CheckBox4"/>
      </mc:Fallback>
    </mc:AlternateContent>
    <mc:AlternateContent xmlns:mc="http://schemas.openxmlformats.org/markup-compatibility/2006">
      <mc:Choice Requires="x14">
        <control shapeId="8197" r:id="rId12" name="CheckBox5">
          <controlPr autoLine="0" linkedCell="B9" r:id="rId13">
            <anchor moveWithCells="1">
              <from>
                <xdr:col>1</xdr:col>
                <xdr:colOff>28575</xdr:colOff>
                <xdr:row>8</xdr:row>
                <xdr:rowOff>9525</xdr:rowOff>
              </from>
              <to>
                <xdr:col>8</xdr:col>
                <xdr:colOff>0</xdr:colOff>
                <xdr:row>9</xdr:row>
                <xdr:rowOff>19050</xdr:rowOff>
              </to>
            </anchor>
          </controlPr>
        </control>
      </mc:Choice>
      <mc:Fallback>
        <control shapeId="8197" r:id="rId12" name="CheckBox5"/>
      </mc:Fallback>
    </mc:AlternateContent>
    <mc:AlternateContent xmlns:mc="http://schemas.openxmlformats.org/markup-compatibility/2006">
      <mc:Choice Requires="x14">
        <control shapeId="8198" r:id="rId14" name="CheckBox6">
          <controlPr autoLine="0" linkedCell="B10" r:id="rId15">
            <anchor moveWithCells="1">
              <from>
                <xdr:col>1</xdr:col>
                <xdr:colOff>28575</xdr:colOff>
                <xdr:row>9</xdr:row>
                <xdr:rowOff>9525</xdr:rowOff>
              </from>
              <to>
                <xdr:col>7</xdr:col>
                <xdr:colOff>600075</xdr:colOff>
                <xdr:row>10</xdr:row>
                <xdr:rowOff>19050</xdr:rowOff>
              </to>
            </anchor>
          </controlPr>
        </control>
      </mc:Choice>
      <mc:Fallback>
        <control shapeId="8198" r:id="rId14" name="CheckBox6"/>
      </mc:Fallback>
    </mc:AlternateContent>
    <mc:AlternateContent xmlns:mc="http://schemas.openxmlformats.org/markup-compatibility/2006">
      <mc:Choice Requires="x14">
        <control shapeId="8199" r:id="rId16" name="CheckBox7">
          <controlPr autoLine="0" linkedCell="B11" r:id="rId17">
            <anchor moveWithCells="1">
              <from>
                <xdr:col>1</xdr:col>
                <xdr:colOff>28575</xdr:colOff>
                <xdr:row>10</xdr:row>
                <xdr:rowOff>9525</xdr:rowOff>
              </from>
              <to>
                <xdr:col>8</xdr:col>
                <xdr:colOff>0</xdr:colOff>
                <xdr:row>11</xdr:row>
                <xdr:rowOff>19050</xdr:rowOff>
              </to>
            </anchor>
          </controlPr>
        </control>
      </mc:Choice>
      <mc:Fallback>
        <control shapeId="8199" r:id="rId16" name="CheckBox7"/>
      </mc:Fallback>
    </mc:AlternateContent>
    <mc:AlternateContent xmlns:mc="http://schemas.openxmlformats.org/markup-compatibility/2006">
      <mc:Choice Requires="x14">
        <control shapeId="8200" r:id="rId18" name="CheckBox8">
          <controlPr autoLine="0" linkedCell="B12" r:id="rId19">
            <anchor moveWithCells="1">
              <from>
                <xdr:col>1</xdr:col>
                <xdr:colOff>28575</xdr:colOff>
                <xdr:row>11</xdr:row>
                <xdr:rowOff>9525</xdr:rowOff>
              </from>
              <to>
                <xdr:col>7</xdr:col>
                <xdr:colOff>600075</xdr:colOff>
                <xdr:row>12</xdr:row>
                <xdr:rowOff>19050</xdr:rowOff>
              </to>
            </anchor>
          </controlPr>
        </control>
      </mc:Choice>
      <mc:Fallback>
        <control shapeId="8200" r:id="rId18" name="CheckBox8"/>
      </mc:Fallback>
    </mc:AlternateContent>
    <mc:AlternateContent xmlns:mc="http://schemas.openxmlformats.org/markup-compatibility/2006">
      <mc:Choice Requires="x14">
        <control shapeId="8201" r:id="rId20" name="CheckBox9">
          <controlPr autoLine="0" linkedCell="B13" r:id="rId21">
            <anchor moveWithCells="1">
              <from>
                <xdr:col>1</xdr:col>
                <xdr:colOff>28575</xdr:colOff>
                <xdr:row>12</xdr:row>
                <xdr:rowOff>9525</xdr:rowOff>
              </from>
              <to>
                <xdr:col>8</xdr:col>
                <xdr:colOff>9525</xdr:colOff>
                <xdr:row>13</xdr:row>
                <xdr:rowOff>19050</xdr:rowOff>
              </to>
            </anchor>
          </controlPr>
        </control>
      </mc:Choice>
      <mc:Fallback>
        <control shapeId="8201" r:id="rId20" name="CheckBox9"/>
      </mc:Fallback>
    </mc:AlternateContent>
    <mc:AlternateContent xmlns:mc="http://schemas.openxmlformats.org/markup-compatibility/2006">
      <mc:Choice Requires="x14">
        <control shapeId="8202" r:id="rId22" name="CheckBox10">
          <controlPr autoLine="0" linkedCell="B14" r:id="rId23">
            <anchor moveWithCells="1">
              <from>
                <xdr:col>1</xdr:col>
                <xdr:colOff>28575</xdr:colOff>
                <xdr:row>13</xdr:row>
                <xdr:rowOff>9525</xdr:rowOff>
              </from>
              <to>
                <xdr:col>7</xdr:col>
                <xdr:colOff>600075</xdr:colOff>
                <xdr:row>14</xdr:row>
                <xdr:rowOff>19050</xdr:rowOff>
              </to>
            </anchor>
          </controlPr>
        </control>
      </mc:Choice>
      <mc:Fallback>
        <control shapeId="8202" r:id="rId22" name="CheckBox10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N14"/>
  <sheetViews>
    <sheetView zoomScale="145" zoomScaleNormal="145" workbookViewId="0">
      <selection activeCell="B3" sqref="B3"/>
    </sheetView>
  </sheetViews>
  <sheetFormatPr defaultRowHeight="15" x14ac:dyDescent="0.25"/>
  <cols>
    <col min="1" max="13" width="9.140625" style="7"/>
    <col min="14" max="14" width="13.140625" style="7" customWidth="1"/>
    <col min="15" max="16384" width="9.140625" style="7"/>
  </cols>
  <sheetData>
    <row r="1" spans="1:14" ht="15.75" thickBot="1" x14ac:dyDescent="0.3"/>
    <row r="2" spans="1:14" ht="36.75" customHeight="1" thickBot="1" x14ac:dyDescent="0.3">
      <c r="B2" s="24" t="s">
        <v>2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6"/>
    </row>
    <row r="4" spans="1:14" ht="18.75" x14ac:dyDescent="0.25">
      <c r="B4" s="27" t="s">
        <v>14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ht="17.100000000000001" customHeight="1" x14ac:dyDescent="0.25">
      <c r="A5" s="8" t="s">
        <v>4</v>
      </c>
      <c r="B5" s="23" t="b">
        <v>0</v>
      </c>
      <c r="C5" s="23"/>
      <c r="D5" s="23"/>
      <c r="E5" s="23"/>
      <c r="F5" s="23"/>
      <c r="G5" s="23"/>
      <c r="H5" s="23"/>
      <c r="I5" s="9"/>
      <c r="J5" s="10">
        <v>0</v>
      </c>
    </row>
    <row r="6" spans="1:14" ht="17.100000000000001" customHeight="1" x14ac:dyDescent="0.25">
      <c r="A6" s="8" t="s">
        <v>5</v>
      </c>
      <c r="B6" s="23" t="b">
        <v>0</v>
      </c>
      <c r="C6" s="23"/>
      <c r="D6" s="23"/>
      <c r="E6" s="23"/>
      <c r="F6" s="23"/>
      <c r="G6" s="23"/>
      <c r="H6" s="23"/>
      <c r="I6" s="9"/>
    </row>
    <row r="7" spans="1:14" ht="17.100000000000001" customHeight="1" x14ac:dyDescent="0.25">
      <c r="A7" s="8" t="s">
        <v>6</v>
      </c>
      <c r="B7" s="23" t="b">
        <v>0</v>
      </c>
      <c r="C7" s="23"/>
      <c r="D7" s="23"/>
      <c r="E7" s="23"/>
      <c r="F7" s="23"/>
      <c r="G7" s="23"/>
      <c r="H7" s="23"/>
      <c r="I7" s="9"/>
    </row>
    <row r="8" spans="1:14" ht="17.100000000000001" customHeight="1" x14ac:dyDescent="0.25">
      <c r="A8" s="8" t="s">
        <v>7</v>
      </c>
      <c r="B8" s="23" t="b">
        <v>0</v>
      </c>
      <c r="C8" s="23"/>
      <c r="D8" s="23"/>
      <c r="E8" s="23"/>
      <c r="F8" s="23"/>
      <c r="G8" s="23"/>
      <c r="H8" s="23"/>
      <c r="I8" s="9"/>
    </row>
    <row r="9" spans="1:14" ht="17.100000000000001" customHeight="1" x14ac:dyDescent="0.25">
      <c r="A9" s="8" t="s">
        <v>8</v>
      </c>
      <c r="B9" s="23" t="b">
        <v>0</v>
      </c>
      <c r="C9" s="23"/>
      <c r="D9" s="23"/>
      <c r="E9" s="23"/>
      <c r="F9" s="23"/>
      <c r="G9" s="23"/>
      <c r="H9" s="23"/>
      <c r="I9" s="9"/>
    </row>
    <row r="10" spans="1:14" ht="17.100000000000001" customHeight="1" x14ac:dyDescent="0.25">
      <c r="A10" s="8" t="s">
        <v>9</v>
      </c>
      <c r="B10" s="23" t="b">
        <v>0</v>
      </c>
      <c r="C10" s="23"/>
      <c r="D10" s="23"/>
      <c r="E10" s="23"/>
      <c r="F10" s="23"/>
      <c r="G10" s="23"/>
      <c r="H10" s="23"/>
      <c r="I10" s="9"/>
    </row>
    <row r="11" spans="1:14" ht="17.100000000000001" customHeight="1" x14ac:dyDescent="0.25">
      <c r="A11" s="8" t="s">
        <v>10</v>
      </c>
      <c r="B11" s="23" t="b">
        <v>0</v>
      </c>
      <c r="C11" s="23"/>
      <c r="D11" s="23"/>
      <c r="E11" s="23"/>
      <c r="F11" s="23"/>
      <c r="G11" s="23"/>
      <c r="H11" s="23"/>
      <c r="I11" s="9"/>
    </row>
    <row r="12" spans="1:14" ht="17.100000000000001" customHeight="1" x14ac:dyDescent="0.25">
      <c r="A12" s="8" t="s">
        <v>11</v>
      </c>
      <c r="B12" s="23" t="b">
        <v>0</v>
      </c>
      <c r="C12" s="23"/>
      <c r="D12" s="23"/>
      <c r="E12" s="23"/>
      <c r="F12" s="23"/>
      <c r="G12" s="23"/>
      <c r="H12" s="23"/>
      <c r="I12" s="9"/>
    </row>
    <row r="13" spans="1:14" ht="17.100000000000001" customHeight="1" x14ac:dyDescent="0.25">
      <c r="A13" s="12"/>
      <c r="B13" s="13"/>
      <c r="H13" s="14"/>
    </row>
    <row r="14" spans="1:14" ht="17.100000000000001" customHeight="1" x14ac:dyDescent="0.25">
      <c r="A14" s="12"/>
      <c r="B14" s="13"/>
      <c r="H14" s="14"/>
    </row>
  </sheetData>
  <sheetProtection algorithmName="SHA-512" hashValue="dhirvKTtkRzhc5r0dH0VKP9rFEyRYYPC/QoyuIcumxgoKQcysts2O9ffZMmFCemhZoWPeRLh7QZw/fCSbdHGEQ==" saltValue="aiWGXrIgTjmH2bQJndjjyw==" spinCount="100000" sheet="1" objects="1" scenarios="1" selectLockedCells="1" selectUnlockedCells="1"/>
  <mergeCells count="10">
    <mergeCell ref="B9:H9"/>
    <mergeCell ref="B10:H10"/>
    <mergeCell ref="B11:H11"/>
    <mergeCell ref="B12:H12"/>
    <mergeCell ref="B2:N2"/>
    <mergeCell ref="B4:N4"/>
    <mergeCell ref="B5:H5"/>
    <mergeCell ref="B6:H6"/>
    <mergeCell ref="B7:H7"/>
    <mergeCell ref="B8:H8"/>
  </mergeCells>
  <conditionalFormatting sqref="B5:H12">
    <cfRule type="containsText" dxfId="2" priority="1" operator="containsText" text="ИСТИНА">
      <formula>NOT(ISERROR(SEARCH("ИСТИНА",B5)))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heckBox1">
          <controlPr autoLine="0" linkedCell="B5" r:id="rId5">
            <anchor moveWithCells="1">
              <from>
                <xdr:col>1</xdr:col>
                <xdr:colOff>28575</xdr:colOff>
                <xdr:row>4</xdr:row>
                <xdr:rowOff>9525</xdr:rowOff>
              </from>
              <to>
                <xdr:col>8</xdr:col>
                <xdr:colOff>0</xdr:colOff>
                <xdr:row>5</xdr:row>
                <xdr:rowOff>19050</xdr:rowOff>
              </to>
            </anchor>
          </controlPr>
        </control>
      </mc:Choice>
      <mc:Fallback>
        <control shapeId="9217" r:id="rId4" name="CheckBox1"/>
      </mc:Fallback>
    </mc:AlternateContent>
    <mc:AlternateContent xmlns:mc="http://schemas.openxmlformats.org/markup-compatibility/2006">
      <mc:Choice Requires="x14">
        <control shapeId="9218" r:id="rId6" name="CheckBox2">
          <controlPr autoLine="0" linkedCell="B6" r:id="rId7">
            <anchor moveWithCells="1">
              <from>
                <xdr:col>1</xdr:col>
                <xdr:colOff>28575</xdr:colOff>
                <xdr:row>5</xdr:row>
                <xdr:rowOff>9525</xdr:rowOff>
              </from>
              <to>
                <xdr:col>8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9218" r:id="rId6" name="CheckBox2"/>
      </mc:Fallback>
    </mc:AlternateContent>
    <mc:AlternateContent xmlns:mc="http://schemas.openxmlformats.org/markup-compatibility/2006">
      <mc:Choice Requires="x14">
        <control shapeId="9219" r:id="rId8" name="CheckBox3">
          <controlPr autoLine="0" linkedCell="B7" r:id="rId9">
            <anchor moveWithCells="1">
              <from>
                <xdr:col>1</xdr:col>
                <xdr:colOff>28575</xdr:colOff>
                <xdr:row>6</xdr:row>
                <xdr:rowOff>9525</xdr:rowOff>
              </from>
              <to>
                <xdr:col>8</xdr:col>
                <xdr:colOff>9525</xdr:colOff>
                <xdr:row>7</xdr:row>
                <xdr:rowOff>19050</xdr:rowOff>
              </to>
            </anchor>
          </controlPr>
        </control>
      </mc:Choice>
      <mc:Fallback>
        <control shapeId="9219" r:id="rId8" name="CheckBox3"/>
      </mc:Fallback>
    </mc:AlternateContent>
    <mc:AlternateContent xmlns:mc="http://schemas.openxmlformats.org/markup-compatibility/2006">
      <mc:Choice Requires="x14">
        <control shapeId="9220" r:id="rId10" name="CheckBox4">
          <controlPr autoLine="0" linkedCell="B8" r:id="rId11">
            <anchor moveWithCells="1">
              <from>
                <xdr:col>1</xdr:col>
                <xdr:colOff>28575</xdr:colOff>
                <xdr:row>7</xdr:row>
                <xdr:rowOff>9525</xdr:rowOff>
              </from>
              <to>
                <xdr:col>8</xdr:col>
                <xdr:colOff>9525</xdr:colOff>
                <xdr:row>8</xdr:row>
                <xdr:rowOff>19050</xdr:rowOff>
              </to>
            </anchor>
          </controlPr>
        </control>
      </mc:Choice>
      <mc:Fallback>
        <control shapeId="9220" r:id="rId10" name="CheckBox4"/>
      </mc:Fallback>
    </mc:AlternateContent>
    <mc:AlternateContent xmlns:mc="http://schemas.openxmlformats.org/markup-compatibility/2006">
      <mc:Choice Requires="x14">
        <control shapeId="9221" r:id="rId12" name="CheckBox5">
          <controlPr autoLine="0" linkedCell="B9" r:id="rId13">
            <anchor moveWithCells="1">
              <from>
                <xdr:col>1</xdr:col>
                <xdr:colOff>28575</xdr:colOff>
                <xdr:row>8</xdr:row>
                <xdr:rowOff>9525</xdr:rowOff>
              </from>
              <to>
                <xdr:col>7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9221" r:id="rId12" name="CheckBox5"/>
      </mc:Fallback>
    </mc:AlternateContent>
    <mc:AlternateContent xmlns:mc="http://schemas.openxmlformats.org/markup-compatibility/2006">
      <mc:Choice Requires="x14">
        <control shapeId="9222" r:id="rId14" name="CheckBox6">
          <controlPr autoLine="0" linkedCell="B10" r:id="rId15">
            <anchor moveWithCells="1">
              <from>
                <xdr:col>1</xdr:col>
                <xdr:colOff>28575</xdr:colOff>
                <xdr:row>9</xdr:row>
                <xdr:rowOff>9525</xdr:rowOff>
              </from>
              <to>
                <xdr:col>8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9222" r:id="rId14" name="CheckBox6"/>
      </mc:Fallback>
    </mc:AlternateContent>
    <mc:AlternateContent xmlns:mc="http://schemas.openxmlformats.org/markup-compatibility/2006">
      <mc:Choice Requires="x14">
        <control shapeId="9223" r:id="rId16" name="CheckBox7">
          <controlPr autoLine="0" linkedCell="B11" r:id="rId17">
            <anchor moveWithCells="1">
              <from>
                <xdr:col>1</xdr:col>
                <xdr:colOff>28575</xdr:colOff>
                <xdr:row>10</xdr:row>
                <xdr:rowOff>9525</xdr:rowOff>
              </from>
              <to>
                <xdr:col>8</xdr:col>
                <xdr:colOff>0</xdr:colOff>
                <xdr:row>11</xdr:row>
                <xdr:rowOff>19050</xdr:rowOff>
              </to>
            </anchor>
          </controlPr>
        </control>
      </mc:Choice>
      <mc:Fallback>
        <control shapeId="9223" r:id="rId16" name="CheckBox7"/>
      </mc:Fallback>
    </mc:AlternateContent>
    <mc:AlternateContent xmlns:mc="http://schemas.openxmlformats.org/markup-compatibility/2006">
      <mc:Choice Requires="x14">
        <control shapeId="9224" r:id="rId18" name="CheckBox8">
          <controlPr autoLine="0" linkedCell="B12" r:id="rId19">
            <anchor moveWithCells="1">
              <from>
                <xdr:col>1</xdr:col>
                <xdr:colOff>28575</xdr:colOff>
                <xdr:row>11</xdr:row>
                <xdr:rowOff>9525</xdr:rowOff>
              </from>
              <to>
                <xdr:col>8</xdr:col>
                <xdr:colOff>9525</xdr:colOff>
                <xdr:row>12</xdr:row>
                <xdr:rowOff>19050</xdr:rowOff>
              </to>
            </anchor>
          </controlPr>
        </control>
      </mc:Choice>
      <mc:Fallback>
        <control shapeId="9224" r:id="rId18" name="CheckBox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N14"/>
  <sheetViews>
    <sheetView zoomScale="145" zoomScaleNormal="145" workbookViewId="0">
      <selection activeCell="B3" sqref="B3"/>
    </sheetView>
  </sheetViews>
  <sheetFormatPr defaultRowHeight="15" x14ac:dyDescent="0.25"/>
  <cols>
    <col min="1" max="13" width="9.140625" style="7"/>
    <col min="14" max="14" width="13.140625" style="7" customWidth="1"/>
    <col min="15" max="16384" width="9.140625" style="7"/>
  </cols>
  <sheetData>
    <row r="1" spans="1:14" ht="15.75" thickBot="1" x14ac:dyDescent="0.3"/>
    <row r="2" spans="1:14" ht="36.75" customHeight="1" thickBot="1" x14ac:dyDescent="0.3">
      <c r="B2" s="24" t="s">
        <v>2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6"/>
    </row>
    <row r="4" spans="1:14" ht="18.75" x14ac:dyDescent="0.25">
      <c r="B4" s="27" t="s">
        <v>15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ht="17.100000000000001" customHeight="1" x14ac:dyDescent="0.25">
      <c r="A5" s="8" t="s">
        <v>4</v>
      </c>
      <c r="B5" s="23" t="b">
        <v>0</v>
      </c>
      <c r="C5" s="23"/>
      <c r="D5" s="23"/>
      <c r="E5" s="23"/>
      <c r="F5" s="23"/>
      <c r="G5" s="23"/>
      <c r="H5" s="23"/>
      <c r="I5" s="9"/>
      <c r="J5" s="10">
        <v>0</v>
      </c>
      <c r="K5" s="11"/>
    </row>
    <row r="6" spans="1:14" ht="17.100000000000001" customHeight="1" x14ac:dyDescent="0.25">
      <c r="A6" s="8" t="s">
        <v>5</v>
      </c>
      <c r="B6" s="23" t="b">
        <v>0</v>
      </c>
      <c r="C6" s="23"/>
      <c r="D6" s="23"/>
      <c r="E6" s="23"/>
      <c r="F6" s="23"/>
      <c r="G6" s="23"/>
      <c r="H6" s="23"/>
      <c r="I6" s="9"/>
      <c r="J6" s="11"/>
      <c r="K6" s="11"/>
    </row>
    <row r="7" spans="1:14" ht="17.100000000000001" customHeight="1" x14ac:dyDescent="0.25">
      <c r="A7" s="8" t="s">
        <v>6</v>
      </c>
      <c r="B7" s="23" t="b">
        <v>0</v>
      </c>
      <c r="C7" s="23"/>
      <c r="D7" s="23"/>
      <c r="E7" s="23"/>
      <c r="F7" s="23"/>
      <c r="G7" s="23"/>
      <c r="H7" s="23"/>
      <c r="I7" s="9"/>
      <c r="J7" s="11"/>
      <c r="K7" s="11"/>
    </row>
    <row r="8" spans="1:14" ht="17.100000000000001" customHeight="1" x14ac:dyDescent="0.25">
      <c r="A8" s="8" t="s">
        <v>7</v>
      </c>
      <c r="B8" s="23" t="b">
        <v>0</v>
      </c>
      <c r="C8" s="23"/>
      <c r="D8" s="23"/>
      <c r="E8" s="23"/>
      <c r="F8" s="23"/>
      <c r="G8" s="23"/>
      <c r="H8" s="23"/>
      <c r="I8" s="9"/>
      <c r="J8" s="11"/>
      <c r="K8" s="11"/>
    </row>
    <row r="9" spans="1:14" ht="17.100000000000001" customHeight="1" x14ac:dyDescent="0.25">
      <c r="A9" s="8" t="s">
        <v>8</v>
      </c>
      <c r="B9" s="23" t="b">
        <v>0</v>
      </c>
      <c r="C9" s="23"/>
      <c r="D9" s="23"/>
      <c r="E9" s="23"/>
      <c r="F9" s="23"/>
      <c r="G9" s="23"/>
      <c r="H9" s="23"/>
      <c r="I9" s="9"/>
      <c r="J9" s="11"/>
      <c r="K9" s="11"/>
    </row>
    <row r="10" spans="1:14" ht="17.100000000000001" customHeight="1" x14ac:dyDescent="0.25">
      <c r="A10" s="8" t="s">
        <v>9</v>
      </c>
      <c r="B10" s="23" t="b">
        <v>0</v>
      </c>
      <c r="C10" s="23"/>
      <c r="D10" s="23"/>
      <c r="E10" s="23"/>
      <c r="F10" s="23"/>
      <c r="G10" s="23"/>
      <c r="H10" s="23"/>
      <c r="I10" s="9"/>
      <c r="J10" s="11"/>
      <c r="K10" s="11"/>
    </row>
    <row r="11" spans="1:14" ht="17.100000000000001" customHeight="1" x14ac:dyDescent="0.25">
      <c r="A11" s="8" t="s">
        <v>10</v>
      </c>
      <c r="B11" s="23" t="b">
        <v>0</v>
      </c>
      <c r="C11" s="23"/>
      <c r="D11" s="23"/>
      <c r="E11" s="23"/>
      <c r="F11" s="23"/>
      <c r="G11" s="23"/>
      <c r="H11" s="23"/>
      <c r="I11" s="9"/>
      <c r="J11" s="11"/>
      <c r="K11" s="11"/>
    </row>
    <row r="12" spans="1:14" ht="17.100000000000001" customHeight="1" x14ac:dyDescent="0.25">
      <c r="A12" s="8" t="s">
        <v>11</v>
      </c>
      <c r="B12" s="23" t="b">
        <v>0</v>
      </c>
      <c r="C12" s="23"/>
      <c r="D12" s="23"/>
      <c r="E12" s="23"/>
      <c r="F12" s="23"/>
      <c r="G12" s="23"/>
      <c r="H12" s="23"/>
      <c r="I12" s="9"/>
      <c r="J12" s="11"/>
      <c r="K12" s="11"/>
    </row>
    <row r="13" spans="1:14" ht="17.100000000000001" customHeight="1" x14ac:dyDescent="0.25">
      <c r="A13" s="12"/>
      <c r="B13" s="15"/>
      <c r="C13" s="11"/>
      <c r="D13" s="11"/>
      <c r="E13" s="11"/>
      <c r="F13" s="11"/>
      <c r="G13" s="11"/>
      <c r="H13" s="11"/>
      <c r="I13" s="11"/>
      <c r="J13" s="11"/>
      <c r="K13" s="11"/>
    </row>
    <row r="14" spans="1:14" ht="17.100000000000001" customHeight="1" x14ac:dyDescent="0.25">
      <c r="A14" s="12"/>
      <c r="B14" s="13"/>
      <c r="H14" s="14"/>
    </row>
  </sheetData>
  <sheetProtection algorithmName="SHA-512" hashValue="hz/mGINRZ2wRVpngZcWvbT+691lcZb66JaaJiu0qfINcPyzzcbx0KCjYFCR0dSS/DWQEqPX24PL/rL6Gvbvggg==" saltValue="azA/qi4YTzVRBmmMZFEgXw==" spinCount="100000" sheet="1" objects="1" scenarios="1" selectLockedCells="1" selectUnlockedCells="1"/>
  <mergeCells count="10">
    <mergeCell ref="B9:H9"/>
    <mergeCell ref="B10:H10"/>
    <mergeCell ref="B11:H11"/>
    <mergeCell ref="B12:H12"/>
    <mergeCell ref="B2:N2"/>
    <mergeCell ref="B4:N4"/>
    <mergeCell ref="B5:H5"/>
    <mergeCell ref="B6:H6"/>
    <mergeCell ref="B7:H7"/>
    <mergeCell ref="B8:H8"/>
  </mergeCells>
  <conditionalFormatting sqref="B5:H12">
    <cfRule type="containsText" dxfId="1" priority="1" operator="containsText" text="ИСТИНА">
      <formula>NOT(ISERROR(SEARCH("ИСТИНА",B5)))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heckBox1">
          <controlPr autoLine="0" linkedCell="B5" r:id="rId5">
            <anchor moveWithCells="1">
              <from>
                <xdr:col>1</xdr:col>
                <xdr:colOff>28575</xdr:colOff>
                <xdr:row>4</xdr:row>
                <xdr:rowOff>9525</xdr:rowOff>
              </from>
              <to>
                <xdr:col>8</xdr:col>
                <xdr:colOff>0</xdr:colOff>
                <xdr:row>5</xdr:row>
                <xdr:rowOff>19050</xdr:rowOff>
              </to>
            </anchor>
          </controlPr>
        </control>
      </mc:Choice>
      <mc:Fallback>
        <control shapeId="10241" r:id="rId4" name="CheckBox1"/>
      </mc:Fallback>
    </mc:AlternateContent>
    <mc:AlternateContent xmlns:mc="http://schemas.openxmlformats.org/markup-compatibility/2006">
      <mc:Choice Requires="x14">
        <control shapeId="10242" r:id="rId6" name="CheckBox2">
          <controlPr autoLine="0" linkedCell="B6" r:id="rId7">
            <anchor moveWithCells="1">
              <from>
                <xdr:col>1</xdr:col>
                <xdr:colOff>28575</xdr:colOff>
                <xdr:row>5</xdr:row>
                <xdr:rowOff>9525</xdr:rowOff>
              </from>
              <to>
                <xdr:col>8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10242" r:id="rId6" name="CheckBox2"/>
      </mc:Fallback>
    </mc:AlternateContent>
    <mc:AlternateContent xmlns:mc="http://schemas.openxmlformats.org/markup-compatibility/2006">
      <mc:Choice Requires="x14">
        <control shapeId="10243" r:id="rId8" name="CheckBox3">
          <controlPr autoLine="0" linkedCell="B7" r:id="rId9">
            <anchor moveWithCells="1">
              <from>
                <xdr:col>1</xdr:col>
                <xdr:colOff>28575</xdr:colOff>
                <xdr:row>6</xdr:row>
                <xdr:rowOff>9525</xdr:rowOff>
              </from>
              <to>
                <xdr:col>8</xdr:col>
                <xdr:colOff>0</xdr:colOff>
                <xdr:row>7</xdr:row>
                <xdr:rowOff>19050</xdr:rowOff>
              </to>
            </anchor>
          </controlPr>
        </control>
      </mc:Choice>
      <mc:Fallback>
        <control shapeId="10243" r:id="rId8" name="CheckBox3"/>
      </mc:Fallback>
    </mc:AlternateContent>
    <mc:AlternateContent xmlns:mc="http://schemas.openxmlformats.org/markup-compatibility/2006">
      <mc:Choice Requires="x14">
        <control shapeId="10244" r:id="rId10" name="CheckBox4">
          <controlPr autoLine="0" linkedCell="B8" r:id="rId11">
            <anchor moveWithCells="1">
              <from>
                <xdr:col>1</xdr:col>
                <xdr:colOff>28575</xdr:colOff>
                <xdr:row>7</xdr:row>
                <xdr:rowOff>9525</xdr:rowOff>
              </from>
              <to>
                <xdr:col>8</xdr:col>
                <xdr:colOff>0</xdr:colOff>
                <xdr:row>8</xdr:row>
                <xdr:rowOff>19050</xdr:rowOff>
              </to>
            </anchor>
          </controlPr>
        </control>
      </mc:Choice>
      <mc:Fallback>
        <control shapeId="10244" r:id="rId10" name="CheckBox4"/>
      </mc:Fallback>
    </mc:AlternateContent>
    <mc:AlternateContent xmlns:mc="http://schemas.openxmlformats.org/markup-compatibility/2006">
      <mc:Choice Requires="x14">
        <control shapeId="10245" r:id="rId12" name="CheckBox5">
          <controlPr autoLine="0" linkedCell="B9" r:id="rId13">
            <anchor moveWithCells="1">
              <from>
                <xdr:col>1</xdr:col>
                <xdr:colOff>28575</xdr:colOff>
                <xdr:row>8</xdr:row>
                <xdr:rowOff>9525</xdr:rowOff>
              </from>
              <to>
                <xdr:col>7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10245" r:id="rId12" name="CheckBox5"/>
      </mc:Fallback>
    </mc:AlternateContent>
    <mc:AlternateContent xmlns:mc="http://schemas.openxmlformats.org/markup-compatibility/2006">
      <mc:Choice Requires="x14">
        <control shapeId="10246" r:id="rId14" name="CheckBox6">
          <controlPr autoLine="0" linkedCell="B10" r:id="rId15">
            <anchor moveWithCells="1">
              <from>
                <xdr:col>1</xdr:col>
                <xdr:colOff>28575</xdr:colOff>
                <xdr:row>9</xdr:row>
                <xdr:rowOff>9525</xdr:rowOff>
              </from>
              <to>
                <xdr:col>8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0246" r:id="rId14" name="CheckBox6"/>
      </mc:Fallback>
    </mc:AlternateContent>
    <mc:AlternateContent xmlns:mc="http://schemas.openxmlformats.org/markup-compatibility/2006">
      <mc:Choice Requires="x14">
        <control shapeId="10247" r:id="rId16" name="CheckBox7">
          <controlPr autoLine="0" linkedCell="B11" r:id="rId17">
            <anchor moveWithCells="1">
              <from>
                <xdr:col>1</xdr:col>
                <xdr:colOff>28575</xdr:colOff>
                <xdr:row>10</xdr:row>
                <xdr:rowOff>9525</xdr:rowOff>
              </from>
              <to>
                <xdr:col>8</xdr:col>
                <xdr:colOff>9525</xdr:colOff>
                <xdr:row>11</xdr:row>
                <xdr:rowOff>19050</xdr:rowOff>
              </to>
            </anchor>
          </controlPr>
        </control>
      </mc:Choice>
      <mc:Fallback>
        <control shapeId="10247" r:id="rId16" name="CheckBox7"/>
      </mc:Fallback>
    </mc:AlternateContent>
    <mc:AlternateContent xmlns:mc="http://schemas.openxmlformats.org/markup-compatibility/2006">
      <mc:Choice Requires="x14">
        <control shapeId="10248" r:id="rId18" name="CheckBox8">
          <controlPr autoLine="0" linkedCell="B12" r:id="rId19">
            <anchor moveWithCells="1">
              <from>
                <xdr:col>1</xdr:col>
                <xdr:colOff>28575</xdr:colOff>
                <xdr:row>11</xdr:row>
                <xdr:rowOff>9525</xdr:rowOff>
              </from>
              <to>
                <xdr:col>8</xdr:col>
                <xdr:colOff>0</xdr:colOff>
                <xdr:row>12</xdr:row>
                <xdr:rowOff>19050</xdr:rowOff>
              </to>
            </anchor>
          </controlPr>
        </control>
      </mc:Choice>
      <mc:Fallback>
        <control shapeId="10248" r:id="rId18" name="CheckBox8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N14"/>
  <sheetViews>
    <sheetView zoomScale="145" zoomScaleNormal="145" workbookViewId="0">
      <selection activeCell="F16" sqref="F16"/>
    </sheetView>
  </sheetViews>
  <sheetFormatPr defaultRowHeight="15" x14ac:dyDescent="0.25"/>
  <cols>
    <col min="1" max="13" width="9.140625" style="7"/>
    <col min="14" max="14" width="13.140625" style="7" customWidth="1"/>
    <col min="15" max="16384" width="9.140625" style="7"/>
  </cols>
  <sheetData>
    <row r="1" spans="1:14" ht="15.75" thickBot="1" x14ac:dyDescent="0.3"/>
    <row r="2" spans="1:14" ht="36.75" customHeight="1" thickBot="1" x14ac:dyDescent="0.3">
      <c r="B2" s="24" t="s">
        <v>2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6"/>
    </row>
    <row r="4" spans="1:14" ht="18.75" x14ac:dyDescent="0.25">
      <c r="B4" s="27" t="s">
        <v>16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ht="17.100000000000001" customHeight="1" x14ac:dyDescent="0.25">
      <c r="A5" s="8" t="s">
        <v>4</v>
      </c>
      <c r="B5" s="23" t="b">
        <v>0</v>
      </c>
      <c r="C5" s="23"/>
      <c r="D5" s="23"/>
      <c r="E5" s="23"/>
      <c r="F5" s="23"/>
      <c r="G5" s="23"/>
      <c r="H5" s="23"/>
      <c r="I5" s="9"/>
      <c r="J5" s="10">
        <v>0</v>
      </c>
    </row>
    <row r="6" spans="1:14" ht="17.100000000000001" customHeight="1" x14ac:dyDescent="0.25">
      <c r="A6" s="8" t="s">
        <v>5</v>
      </c>
      <c r="B6" s="23" t="b">
        <v>0</v>
      </c>
      <c r="C6" s="23"/>
      <c r="D6" s="23"/>
      <c r="E6" s="23"/>
      <c r="F6" s="23"/>
      <c r="G6" s="23"/>
      <c r="H6" s="23"/>
      <c r="I6" s="9"/>
    </row>
    <row r="7" spans="1:14" ht="17.100000000000001" customHeight="1" x14ac:dyDescent="0.25">
      <c r="A7" s="8" t="s">
        <v>6</v>
      </c>
      <c r="B7" s="23" t="b">
        <v>0</v>
      </c>
      <c r="C7" s="23"/>
      <c r="D7" s="23"/>
      <c r="E7" s="23"/>
      <c r="F7" s="23"/>
      <c r="G7" s="23"/>
      <c r="H7" s="23"/>
      <c r="I7" s="9"/>
    </row>
    <row r="8" spans="1:14" ht="17.100000000000001" customHeight="1" x14ac:dyDescent="0.25">
      <c r="A8" s="8" t="s">
        <v>7</v>
      </c>
      <c r="B8" s="23" t="b">
        <v>0</v>
      </c>
      <c r="C8" s="23"/>
      <c r="D8" s="23"/>
      <c r="E8" s="23"/>
      <c r="F8" s="23"/>
      <c r="G8" s="23"/>
      <c r="H8" s="23"/>
      <c r="I8" s="9"/>
    </row>
    <row r="9" spans="1:14" ht="17.100000000000001" customHeight="1" x14ac:dyDescent="0.25">
      <c r="A9" s="8" t="s">
        <v>8</v>
      </c>
      <c r="B9" s="23" t="b">
        <v>0</v>
      </c>
      <c r="C9" s="23"/>
      <c r="D9" s="23"/>
      <c r="E9" s="23"/>
      <c r="F9" s="23"/>
      <c r="G9" s="23"/>
      <c r="H9" s="23"/>
      <c r="I9" s="9"/>
    </row>
    <row r="10" spans="1:14" ht="17.100000000000001" customHeight="1" x14ac:dyDescent="0.25">
      <c r="A10" s="8" t="s">
        <v>9</v>
      </c>
      <c r="B10" s="23" t="b">
        <v>0</v>
      </c>
      <c r="C10" s="23"/>
      <c r="D10" s="23"/>
      <c r="E10" s="23"/>
      <c r="F10" s="23"/>
      <c r="G10" s="23"/>
      <c r="H10" s="23"/>
      <c r="I10" s="9"/>
    </row>
    <row r="11" spans="1:14" ht="17.100000000000001" customHeight="1" x14ac:dyDescent="0.25">
      <c r="A11" s="8" t="s">
        <v>10</v>
      </c>
      <c r="B11" s="23" t="b">
        <v>0</v>
      </c>
      <c r="C11" s="23"/>
      <c r="D11" s="23"/>
      <c r="E11" s="23"/>
      <c r="F11" s="23"/>
      <c r="G11" s="23"/>
      <c r="H11" s="23"/>
      <c r="I11" s="9"/>
    </row>
    <row r="12" spans="1:14" ht="17.100000000000001" customHeight="1" x14ac:dyDescent="0.25">
      <c r="A12" s="8" t="s">
        <v>11</v>
      </c>
      <c r="B12" s="23" t="b">
        <v>0</v>
      </c>
      <c r="C12" s="23"/>
      <c r="D12" s="23"/>
      <c r="E12" s="23"/>
      <c r="F12" s="23"/>
      <c r="G12" s="23"/>
      <c r="H12" s="23"/>
      <c r="I12" s="9"/>
    </row>
    <row r="13" spans="1:14" ht="17.100000000000001" customHeight="1" x14ac:dyDescent="0.25">
      <c r="A13" s="8" t="s">
        <v>12</v>
      </c>
      <c r="B13" s="23" t="b">
        <v>0</v>
      </c>
      <c r="C13" s="23"/>
      <c r="D13" s="23"/>
      <c r="E13" s="23"/>
      <c r="F13" s="23"/>
      <c r="G13" s="23"/>
      <c r="H13" s="23"/>
      <c r="I13" s="9"/>
    </row>
    <row r="14" spans="1:14" ht="17.100000000000001" customHeight="1" x14ac:dyDescent="0.25">
      <c r="A14" s="12"/>
      <c r="B14" s="13"/>
      <c r="H14" s="14"/>
    </row>
  </sheetData>
  <sheetProtection algorithmName="SHA-512" hashValue="cnDUM2CxzlxR5/lDCa0hMlktPp/svUPYyUmVWdjZIaPoq10TFd+Zve/3pRxHqR5gHu2SAmElgheinVCt3lD3vQ==" saltValue="Fb6Yzh7JHdMw9DjybJ1ISw==" spinCount="100000" sheet="1" objects="1" scenarios="1" selectLockedCells="1" selectUnlockedCells="1"/>
  <mergeCells count="11">
    <mergeCell ref="B8:H8"/>
    <mergeCell ref="B2:N2"/>
    <mergeCell ref="B4:N4"/>
    <mergeCell ref="B5:H5"/>
    <mergeCell ref="B6:H6"/>
    <mergeCell ref="B7:H7"/>
    <mergeCell ref="B9:H9"/>
    <mergeCell ref="B10:H10"/>
    <mergeCell ref="B11:H11"/>
    <mergeCell ref="B12:H12"/>
    <mergeCell ref="B13:H13"/>
  </mergeCells>
  <conditionalFormatting sqref="B5:H13">
    <cfRule type="containsText" dxfId="0" priority="1" operator="containsText" text="ИСТИНА">
      <formula>NOT(ISERROR(SEARCH("ИСТИНА",B5)))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heckBox1">
          <controlPr autoLine="0" linkedCell="B5" r:id="rId5">
            <anchor moveWithCells="1">
              <from>
                <xdr:col>1</xdr:col>
                <xdr:colOff>28575</xdr:colOff>
                <xdr:row>4</xdr:row>
                <xdr:rowOff>9525</xdr:rowOff>
              </from>
              <to>
                <xdr:col>7</xdr:col>
                <xdr:colOff>600075</xdr:colOff>
                <xdr:row>5</xdr:row>
                <xdr:rowOff>19050</xdr:rowOff>
              </to>
            </anchor>
          </controlPr>
        </control>
      </mc:Choice>
      <mc:Fallback>
        <control shapeId="11265" r:id="rId4" name="CheckBox1"/>
      </mc:Fallback>
    </mc:AlternateContent>
    <mc:AlternateContent xmlns:mc="http://schemas.openxmlformats.org/markup-compatibility/2006">
      <mc:Choice Requires="x14">
        <control shapeId="11266" r:id="rId6" name="CheckBox2">
          <controlPr autoLine="0" linkedCell="B6" r:id="rId7">
            <anchor moveWithCells="1">
              <from>
                <xdr:col>1</xdr:col>
                <xdr:colOff>28575</xdr:colOff>
                <xdr:row>5</xdr:row>
                <xdr:rowOff>9525</xdr:rowOff>
              </from>
              <to>
                <xdr:col>7</xdr:col>
                <xdr:colOff>600075</xdr:colOff>
                <xdr:row>6</xdr:row>
                <xdr:rowOff>19050</xdr:rowOff>
              </to>
            </anchor>
          </controlPr>
        </control>
      </mc:Choice>
      <mc:Fallback>
        <control shapeId="11266" r:id="rId6" name="CheckBox2"/>
      </mc:Fallback>
    </mc:AlternateContent>
    <mc:AlternateContent xmlns:mc="http://schemas.openxmlformats.org/markup-compatibility/2006">
      <mc:Choice Requires="x14">
        <control shapeId="11267" r:id="rId8" name="CheckBox3">
          <controlPr autoLine="0" linkedCell="B7" r:id="rId9">
            <anchor moveWithCells="1">
              <from>
                <xdr:col>1</xdr:col>
                <xdr:colOff>28575</xdr:colOff>
                <xdr:row>6</xdr:row>
                <xdr:rowOff>9525</xdr:rowOff>
              </from>
              <to>
                <xdr:col>8</xdr:col>
                <xdr:colOff>0</xdr:colOff>
                <xdr:row>7</xdr:row>
                <xdr:rowOff>19050</xdr:rowOff>
              </to>
            </anchor>
          </controlPr>
        </control>
      </mc:Choice>
      <mc:Fallback>
        <control shapeId="11267" r:id="rId8" name="CheckBox3"/>
      </mc:Fallback>
    </mc:AlternateContent>
    <mc:AlternateContent xmlns:mc="http://schemas.openxmlformats.org/markup-compatibility/2006">
      <mc:Choice Requires="x14">
        <control shapeId="11268" r:id="rId10" name="CheckBox4">
          <controlPr autoLine="0" linkedCell="B8" r:id="rId11">
            <anchor moveWithCells="1">
              <from>
                <xdr:col>1</xdr:col>
                <xdr:colOff>28575</xdr:colOff>
                <xdr:row>7</xdr:row>
                <xdr:rowOff>9525</xdr:rowOff>
              </from>
              <to>
                <xdr:col>8</xdr:col>
                <xdr:colOff>0</xdr:colOff>
                <xdr:row>8</xdr:row>
                <xdr:rowOff>19050</xdr:rowOff>
              </to>
            </anchor>
          </controlPr>
        </control>
      </mc:Choice>
      <mc:Fallback>
        <control shapeId="11268" r:id="rId10" name="CheckBox4"/>
      </mc:Fallback>
    </mc:AlternateContent>
    <mc:AlternateContent xmlns:mc="http://schemas.openxmlformats.org/markup-compatibility/2006">
      <mc:Choice Requires="x14">
        <control shapeId="11269" r:id="rId12" name="CheckBox5">
          <controlPr autoLine="0" linkedCell="B9" r:id="rId13">
            <anchor moveWithCells="1">
              <from>
                <xdr:col>1</xdr:col>
                <xdr:colOff>28575</xdr:colOff>
                <xdr:row>8</xdr:row>
                <xdr:rowOff>9525</xdr:rowOff>
              </from>
              <to>
                <xdr:col>8</xdr:col>
                <xdr:colOff>9525</xdr:colOff>
                <xdr:row>9</xdr:row>
                <xdr:rowOff>19050</xdr:rowOff>
              </to>
            </anchor>
          </controlPr>
        </control>
      </mc:Choice>
      <mc:Fallback>
        <control shapeId="11269" r:id="rId12" name="CheckBox5"/>
      </mc:Fallback>
    </mc:AlternateContent>
    <mc:AlternateContent xmlns:mc="http://schemas.openxmlformats.org/markup-compatibility/2006">
      <mc:Choice Requires="x14">
        <control shapeId="11270" r:id="rId14" name="CheckBox6">
          <controlPr autoLine="0" linkedCell="B10" r:id="rId15">
            <anchor moveWithCells="1">
              <from>
                <xdr:col>1</xdr:col>
                <xdr:colOff>28575</xdr:colOff>
                <xdr:row>9</xdr:row>
                <xdr:rowOff>9525</xdr:rowOff>
              </from>
              <to>
                <xdr:col>8</xdr:col>
                <xdr:colOff>9525</xdr:colOff>
                <xdr:row>10</xdr:row>
                <xdr:rowOff>19050</xdr:rowOff>
              </to>
            </anchor>
          </controlPr>
        </control>
      </mc:Choice>
      <mc:Fallback>
        <control shapeId="11270" r:id="rId14" name="CheckBox6"/>
      </mc:Fallback>
    </mc:AlternateContent>
    <mc:AlternateContent xmlns:mc="http://schemas.openxmlformats.org/markup-compatibility/2006">
      <mc:Choice Requires="x14">
        <control shapeId="11271" r:id="rId16" name="CheckBox7">
          <controlPr autoLine="0" linkedCell="B11" r:id="rId17">
            <anchor moveWithCells="1">
              <from>
                <xdr:col>1</xdr:col>
                <xdr:colOff>28575</xdr:colOff>
                <xdr:row>10</xdr:row>
                <xdr:rowOff>9525</xdr:rowOff>
              </from>
              <to>
                <xdr:col>8</xdr:col>
                <xdr:colOff>9525</xdr:colOff>
                <xdr:row>11</xdr:row>
                <xdr:rowOff>19050</xdr:rowOff>
              </to>
            </anchor>
          </controlPr>
        </control>
      </mc:Choice>
      <mc:Fallback>
        <control shapeId="11271" r:id="rId16" name="CheckBox7"/>
      </mc:Fallback>
    </mc:AlternateContent>
    <mc:AlternateContent xmlns:mc="http://schemas.openxmlformats.org/markup-compatibility/2006">
      <mc:Choice Requires="x14">
        <control shapeId="11272" r:id="rId18" name="CheckBox8">
          <controlPr autoLine="0" linkedCell="B12" r:id="rId19">
            <anchor moveWithCells="1">
              <from>
                <xdr:col>1</xdr:col>
                <xdr:colOff>28575</xdr:colOff>
                <xdr:row>11</xdr:row>
                <xdr:rowOff>9525</xdr:rowOff>
              </from>
              <to>
                <xdr:col>8</xdr:col>
                <xdr:colOff>9525</xdr:colOff>
                <xdr:row>12</xdr:row>
                <xdr:rowOff>19050</xdr:rowOff>
              </to>
            </anchor>
          </controlPr>
        </control>
      </mc:Choice>
      <mc:Fallback>
        <control shapeId="11272" r:id="rId18" name="CheckBox8"/>
      </mc:Fallback>
    </mc:AlternateContent>
    <mc:AlternateContent xmlns:mc="http://schemas.openxmlformats.org/markup-compatibility/2006">
      <mc:Choice Requires="x14">
        <control shapeId="11273" r:id="rId20" name="CheckBox9">
          <controlPr autoLine="0" linkedCell="B13" r:id="rId21">
            <anchor moveWithCells="1">
              <from>
                <xdr:col>1</xdr:col>
                <xdr:colOff>28575</xdr:colOff>
                <xdr:row>12</xdr:row>
                <xdr:rowOff>9525</xdr:rowOff>
              </from>
              <to>
                <xdr:col>8</xdr:col>
                <xdr:colOff>0</xdr:colOff>
                <xdr:row>13</xdr:row>
                <xdr:rowOff>19050</xdr:rowOff>
              </to>
            </anchor>
          </controlPr>
        </control>
      </mc:Choice>
      <mc:Fallback>
        <control shapeId="11273" r:id="rId20" name="CheckBox9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3"/>
  <sheetViews>
    <sheetView workbookViewId="0">
      <selection activeCell="B3" sqref="B3"/>
    </sheetView>
  </sheetViews>
  <sheetFormatPr defaultRowHeight="15" x14ac:dyDescent="0.25"/>
  <cols>
    <col min="1" max="16384" width="9.140625" style="19"/>
  </cols>
  <sheetData>
    <row r="1" spans="1:16" x14ac:dyDescent="0.25">
      <c r="A1" s="16" t="s">
        <v>17</v>
      </c>
      <c r="B1" s="16">
        <v>1</v>
      </c>
      <c r="C1" s="16">
        <v>2</v>
      </c>
      <c r="D1" s="16">
        <v>3</v>
      </c>
      <c r="E1" s="16">
        <v>4</v>
      </c>
      <c r="F1" s="17" t="s">
        <v>18</v>
      </c>
      <c r="G1" s="17">
        <v>1</v>
      </c>
      <c r="H1" s="17">
        <v>2</v>
      </c>
      <c r="I1" s="17">
        <v>3</v>
      </c>
      <c r="J1" s="17">
        <v>4</v>
      </c>
      <c r="K1" s="18"/>
      <c r="L1" s="18"/>
      <c r="M1" s="18"/>
      <c r="N1" s="18"/>
      <c r="O1" s="18"/>
      <c r="P1" s="18"/>
    </row>
    <row r="2" spans="1:16" x14ac:dyDescent="0.25">
      <c r="A2" s="16" t="s">
        <v>19</v>
      </c>
      <c r="B2" s="16" t="b">
        <f>'Вопрос 1'!B5</f>
        <v>0</v>
      </c>
      <c r="C2" s="16" t="b">
        <f>'Вопрос 2'!B5</f>
        <v>0</v>
      </c>
      <c r="D2" s="16" t="b">
        <f>'Вопрос 3'!B5</f>
        <v>0</v>
      </c>
      <c r="E2" s="16" t="b">
        <f>'Вопрос 4'!B5</f>
        <v>0</v>
      </c>
      <c r="F2" s="17" t="s">
        <v>19</v>
      </c>
      <c r="G2" s="17">
        <f>IF(B2=TRUE,2,0)</f>
        <v>0</v>
      </c>
      <c r="H2" s="17">
        <f>IF(C2=TRUE,3,0)</f>
        <v>0</v>
      </c>
      <c r="I2" s="17">
        <f>IF(D2=TRUE,5,0)</f>
        <v>0</v>
      </c>
      <c r="J2" s="17">
        <f>IF(E2=TRUE,5,0)</f>
        <v>0</v>
      </c>
      <c r="K2" s="18"/>
      <c r="L2" s="18"/>
      <c r="M2" s="18"/>
      <c r="N2" s="18"/>
      <c r="O2" s="18"/>
      <c r="P2" s="18"/>
    </row>
    <row r="3" spans="1:16" x14ac:dyDescent="0.25">
      <c r="A3" s="16" t="s">
        <v>20</v>
      </c>
      <c r="B3" s="16" t="b">
        <f>'Вопрос 1'!B6</f>
        <v>0</v>
      </c>
      <c r="C3" s="16" t="b">
        <f>'Вопрос 2'!B6</f>
        <v>0</v>
      </c>
      <c r="D3" s="16" t="b">
        <f>'Вопрос 3'!B6</f>
        <v>0</v>
      </c>
      <c r="E3" s="16" t="b">
        <f>'Вопрос 4'!B6</f>
        <v>0</v>
      </c>
      <c r="F3" s="17" t="s">
        <v>20</v>
      </c>
      <c r="G3" s="17">
        <f>IF(B3=TRUE,3,0)</f>
        <v>0</v>
      </c>
      <c r="H3" s="17">
        <f>IF(C3=TRUE,3,0)</f>
        <v>0</v>
      </c>
      <c r="I3" s="17">
        <f>IF(D3=TRUE,3,0)</f>
        <v>0</v>
      </c>
      <c r="J3" s="17">
        <f>IF(E3=TRUE,2,0)</f>
        <v>0</v>
      </c>
      <c r="K3" s="18"/>
      <c r="L3" s="18"/>
      <c r="M3" s="18"/>
      <c r="N3" s="18"/>
      <c r="O3" s="18"/>
      <c r="P3" s="18"/>
    </row>
    <row r="4" spans="1:16" x14ac:dyDescent="0.25">
      <c r="A4" s="16" t="s">
        <v>21</v>
      </c>
      <c r="B4" s="16" t="b">
        <f>'Вопрос 1'!B7</f>
        <v>0</v>
      </c>
      <c r="C4" s="16" t="b">
        <f>'Вопрос 2'!B7</f>
        <v>0</v>
      </c>
      <c r="D4" s="16" t="b">
        <f>'Вопрос 3'!B7</f>
        <v>0</v>
      </c>
      <c r="E4" s="16" t="b">
        <f>'Вопрос 4'!B7</f>
        <v>0</v>
      </c>
      <c r="F4" s="17" t="s">
        <v>21</v>
      </c>
      <c r="G4" s="17">
        <f>IF(B4=TRUE,4,0)</f>
        <v>0</v>
      </c>
      <c r="H4" s="17">
        <f>IF(C4=TRUE,0,0)</f>
        <v>0</v>
      </c>
      <c r="I4" s="17">
        <f>IF(D4=TRUE,3,0)</f>
        <v>0</v>
      </c>
      <c r="J4" s="17">
        <f>IF(E4=TRUE,3,0)</f>
        <v>0</v>
      </c>
      <c r="K4" s="18"/>
      <c r="L4" s="18"/>
      <c r="M4" s="18"/>
      <c r="N4" s="18"/>
      <c r="O4" s="18"/>
      <c r="P4" s="18"/>
    </row>
    <row r="5" spans="1:16" x14ac:dyDescent="0.25">
      <c r="A5" s="16" t="s">
        <v>22</v>
      </c>
      <c r="B5" s="16" t="b">
        <f>'Вопрос 1'!B8</f>
        <v>0</v>
      </c>
      <c r="C5" s="16" t="b">
        <f>'Вопрос 2'!B8</f>
        <v>0</v>
      </c>
      <c r="D5" s="16" t="b">
        <f>'Вопрос 3'!B8</f>
        <v>0</v>
      </c>
      <c r="E5" s="16" t="b">
        <f>'Вопрос 4'!B8</f>
        <v>0</v>
      </c>
      <c r="F5" s="17" t="s">
        <v>22</v>
      </c>
      <c r="G5" s="17">
        <f>IF(B5=TRUE,4,0)</f>
        <v>0</v>
      </c>
      <c r="H5" s="17">
        <f>IF(C5=TRUE,4,0)</f>
        <v>0</v>
      </c>
      <c r="I5" s="17">
        <f>IF(D5=TRUE,3,0)</f>
        <v>0</v>
      </c>
      <c r="J5" s="17">
        <f>IF(E5=TRUE,3,0)</f>
        <v>0</v>
      </c>
      <c r="K5" s="18"/>
      <c r="L5" s="18"/>
      <c r="M5" s="18"/>
      <c r="N5" s="18"/>
      <c r="O5" s="18"/>
      <c r="P5" s="18"/>
    </row>
    <row r="6" spans="1:16" x14ac:dyDescent="0.25">
      <c r="A6" s="16" t="s">
        <v>23</v>
      </c>
      <c r="B6" s="16" t="b">
        <f>'Вопрос 1'!B9</f>
        <v>0</v>
      </c>
      <c r="C6" s="16" t="b">
        <f>'Вопрос 2'!B9</f>
        <v>0</v>
      </c>
      <c r="D6" s="16" t="b">
        <f>'Вопрос 3'!B9</f>
        <v>0</v>
      </c>
      <c r="E6" s="16" t="b">
        <f>'Вопрос 4'!B9</f>
        <v>0</v>
      </c>
      <c r="F6" s="17" t="s">
        <v>23</v>
      </c>
      <c r="G6" s="17">
        <f>IF(B6=TRUE,3,0)</f>
        <v>0</v>
      </c>
      <c r="H6" s="17">
        <f>IF(C6=TRUE,1,0)</f>
        <v>0</v>
      </c>
      <c r="I6" s="17">
        <f>IF(D6=TRUE,3,0)</f>
        <v>0</v>
      </c>
      <c r="J6" s="17">
        <f>IF(E6=TRUE,3,0)</f>
        <v>0</v>
      </c>
      <c r="K6" s="18"/>
      <c r="L6" s="18"/>
      <c r="M6" s="18"/>
      <c r="N6" s="18"/>
      <c r="O6" s="18"/>
      <c r="P6" s="18"/>
    </row>
    <row r="7" spans="1:16" x14ac:dyDescent="0.25">
      <c r="A7" s="16" t="s">
        <v>24</v>
      </c>
      <c r="B7" s="16" t="b">
        <f>'Вопрос 1'!B10</f>
        <v>0</v>
      </c>
      <c r="C7" s="16" t="b">
        <f>'Вопрос 2'!B10</f>
        <v>0</v>
      </c>
      <c r="D7" s="16" t="b">
        <f>'Вопрос 3'!B10</f>
        <v>0</v>
      </c>
      <c r="E7" s="16" t="b">
        <f>'Вопрос 4'!B10</f>
        <v>0</v>
      </c>
      <c r="F7" s="17" t="s">
        <v>24</v>
      </c>
      <c r="G7" s="17">
        <f>IF(B7=TRUE,3,0)</f>
        <v>0</v>
      </c>
      <c r="H7" s="17">
        <f>IF(C7=TRUE,3,0)</f>
        <v>0</v>
      </c>
      <c r="I7" s="17">
        <f>IF(D7=TRUE,0,0)</f>
        <v>0</v>
      </c>
      <c r="J7" s="17">
        <f>IF(E7=TRUE,3,0)</f>
        <v>0</v>
      </c>
      <c r="K7" s="18"/>
      <c r="L7" s="18"/>
      <c r="M7" s="18"/>
      <c r="N7" s="18"/>
      <c r="O7" s="18"/>
      <c r="P7" s="18"/>
    </row>
    <row r="8" spans="1:16" x14ac:dyDescent="0.25">
      <c r="A8" s="16" t="s">
        <v>25</v>
      </c>
      <c r="B8" s="16" t="b">
        <f>'Вопрос 1'!B11</f>
        <v>0</v>
      </c>
      <c r="C8" s="16" t="b">
        <f>'Вопрос 2'!B11</f>
        <v>0</v>
      </c>
      <c r="D8" s="16" t="b">
        <f>'Вопрос 3'!B11</f>
        <v>0</v>
      </c>
      <c r="E8" s="16" t="b">
        <f>'Вопрос 4'!B11</f>
        <v>0</v>
      </c>
      <c r="F8" s="17" t="s">
        <v>25</v>
      </c>
      <c r="G8" s="17">
        <f>IF(B8=TRUE,3,0)</f>
        <v>0</v>
      </c>
      <c r="H8" s="17">
        <f>IF(C8=TRUE,4,0)</f>
        <v>0</v>
      </c>
      <c r="I8" s="17">
        <f>IF(D8=TRUE,0,0)</f>
        <v>0</v>
      </c>
      <c r="J8" s="17">
        <f>IF(E8=TRUE,4,0)</f>
        <v>0</v>
      </c>
      <c r="K8" s="18"/>
      <c r="L8" s="18"/>
      <c r="M8" s="18"/>
      <c r="N8" s="18"/>
      <c r="O8" s="18"/>
      <c r="P8" s="18"/>
    </row>
    <row r="9" spans="1:16" x14ac:dyDescent="0.25">
      <c r="A9" s="16" t="s">
        <v>26</v>
      </c>
      <c r="B9" s="16" t="b">
        <f>'Вопрос 1'!B12</f>
        <v>0</v>
      </c>
      <c r="C9" s="16" t="b">
        <f>'Вопрос 2'!B12</f>
        <v>0</v>
      </c>
      <c r="D9" s="16" t="b">
        <f>'Вопрос 3'!B12</f>
        <v>0</v>
      </c>
      <c r="E9" s="16" t="b">
        <f>'Вопрос 4'!B12</f>
        <v>0</v>
      </c>
      <c r="F9" s="17" t="s">
        <v>26</v>
      </c>
      <c r="G9" s="17">
        <f>IF(B9=TRUE,0,0)</f>
        <v>0</v>
      </c>
      <c r="H9" s="17">
        <f>IF(C9=TRUE,3,0)</f>
        <v>0</v>
      </c>
      <c r="I9" s="17">
        <f>IF(D9=TRUE,4,0)</f>
        <v>0</v>
      </c>
      <c r="J9" s="17">
        <f>IF(E9=TRUE,0,0)</f>
        <v>0</v>
      </c>
      <c r="K9" s="18"/>
      <c r="L9" s="18"/>
      <c r="M9" s="18"/>
      <c r="N9" s="18"/>
      <c r="O9" s="18"/>
      <c r="P9" s="18"/>
    </row>
    <row r="10" spans="1:16" x14ac:dyDescent="0.25">
      <c r="A10" s="16" t="s">
        <v>27</v>
      </c>
      <c r="B10" s="16" t="b">
        <f>'Вопрос 1'!B13</f>
        <v>0</v>
      </c>
      <c r="C10" s="16" t="s">
        <v>28</v>
      </c>
      <c r="D10" s="16" t="s">
        <v>28</v>
      </c>
      <c r="E10" s="16" t="b">
        <f>'Вопрос 4'!B13</f>
        <v>0</v>
      </c>
      <c r="F10" s="17" t="s">
        <v>27</v>
      </c>
      <c r="G10" s="17">
        <f>IF(B10=TRUE,0,0)</f>
        <v>0</v>
      </c>
      <c r="H10" s="17" t="s">
        <v>28</v>
      </c>
      <c r="I10" s="17" t="s">
        <v>28</v>
      </c>
      <c r="J10" s="17">
        <f>IF(E10=TRUE,0,0)</f>
        <v>0</v>
      </c>
      <c r="K10" s="18"/>
      <c r="L10" s="18"/>
      <c r="M10" s="18"/>
      <c r="N10" s="18"/>
      <c r="O10" s="18"/>
      <c r="P10" s="18"/>
    </row>
    <row r="11" spans="1:16" x14ac:dyDescent="0.25">
      <c r="A11" s="16" t="s">
        <v>29</v>
      </c>
      <c r="B11" s="16" t="b">
        <f>'Вопрос 1'!B14</f>
        <v>0</v>
      </c>
      <c r="C11" s="16" t="s">
        <v>28</v>
      </c>
      <c r="D11" s="16" t="s">
        <v>28</v>
      </c>
      <c r="E11" s="16" t="s">
        <v>28</v>
      </c>
      <c r="F11" s="17" t="s">
        <v>29</v>
      </c>
      <c r="G11" s="17">
        <f>IF(B11=TRUE,5,0)</f>
        <v>0</v>
      </c>
      <c r="H11" s="17" t="s">
        <v>28</v>
      </c>
      <c r="I11" s="17" t="s">
        <v>28</v>
      </c>
      <c r="J11" s="17" t="s">
        <v>28</v>
      </c>
      <c r="K11" s="18"/>
      <c r="L11" s="18"/>
      <c r="M11" s="18"/>
      <c r="N11" s="18"/>
      <c r="O11" s="18"/>
      <c r="P11" s="18"/>
    </row>
    <row r="12" spans="1:16" x14ac:dyDescent="0.25">
      <c r="F12" s="20" t="s">
        <v>30</v>
      </c>
      <c r="G12" s="20">
        <f>SUM(G2:G11)</f>
        <v>0</v>
      </c>
      <c r="H12" s="20">
        <f t="shared" ref="H12:J12" si="0">SUM(H2:H11)</f>
        <v>0</v>
      </c>
      <c r="I12" s="20">
        <f t="shared" si="0"/>
        <v>0</v>
      </c>
      <c r="J12" s="20">
        <f t="shared" si="0"/>
        <v>0</v>
      </c>
      <c r="K12" s="20">
        <f>SUM(G12:J12)</f>
        <v>0</v>
      </c>
    </row>
    <row r="13" spans="1:16" x14ac:dyDescent="0.25">
      <c r="A13" s="21"/>
      <c r="B13" s="21"/>
      <c r="C13" s="21"/>
      <c r="D13" s="21"/>
      <c r="F13" s="28" t="s">
        <v>31</v>
      </c>
      <c r="G13" s="28"/>
      <c r="H13" s="29"/>
      <c r="I13" s="22" t="str">
        <f>IF(K12&gt;40,"I - очень высокий уровень мотивации учения",IF(K12&gt;32,"II - высокий уровень мотивации учения",IF(K12&gt;24,"III - нормальный уровень мотивации учения",IF(K12&gt;14,"IV - сниженный уровень мотивации учения", "V - низкий уровень мотивации учения"))))</f>
        <v>V - низкий уровень мотивации учения</v>
      </c>
      <c r="J13" s="21"/>
      <c r="K13" s="22"/>
      <c r="L13" s="21"/>
    </row>
    <row r="14" spans="1:16" x14ac:dyDescent="0.25">
      <c r="A14" s="21"/>
      <c r="B14" s="21"/>
      <c r="C14" s="21"/>
      <c r="D14" s="21"/>
    </row>
    <row r="15" spans="1:16" x14ac:dyDescent="0.25">
      <c r="A15" s="21"/>
      <c r="B15" s="21"/>
      <c r="C15" s="21"/>
      <c r="D15" s="21"/>
    </row>
    <row r="16" spans="1:16" x14ac:dyDescent="0.25">
      <c r="A16" s="21"/>
      <c r="B16" s="21"/>
      <c r="C16" s="21"/>
      <c r="D16" s="21"/>
    </row>
    <row r="19" spans="5:6" x14ac:dyDescent="0.25">
      <c r="F19" s="3" t="s">
        <v>32</v>
      </c>
    </row>
    <row r="20" spans="5:6" x14ac:dyDescent="0.25">
      <c r="E20" s="19" t="s">
        <v>33</v>
      </c>
      <c r="F20" s="3">
        <v>20</v>
      </c>
    </row>
    <row r="21" spans="5:6" x14ac:dyDescent="0.25">
      <c r="E21" s="19" t="s">
        <v>34</v>
      </c>
      <c r="F21" s="3">
        <f>MAX(ROUND(K12/10,0),1)</f>
        <v>1</v>
      </c>
    </row>
    <row r="22" spans="5:6" x14ac:dyDescent="0.25">
      <c r="F22" s="3"/>
    </row>
    <row r="23" spans="5:6" x14ac:dyDescent="0.25">
      <c r="F23" s="3" t="str">
        <f>I13</f>
        <v>V - низкий уровень мотивации учения</v>
      </c>
    </row>
  </sheetData>
  <mergeCells count="1">
    <mergeCell ref="F13:H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Title_Sheet"/>
  <dimension ref="B1:B7"/>
  <sheetViews>
    <sheetView showGridLines="0" showRowColHeaders="0" tabSelected="1" workbookViewId="0">
      <selection activeCell="H16" sqref="H16"/>
    </sheetView>
  </sheetViews>
  <sheetFormatPr defaultRowHeight="15" x14ac:dyDescent="0.25"/>
  <cols>
    <col min="1" max="1" width="38.140625" customWidth="1"/>
  </cols>
  <sheetData>
    <row r="1" spans="2:2" ht="92.25" customHeight="1" x14ac:dyDescent="0.25"/>
    <row r="2" spans="2:2" x14ac:dyDescent="0.25">
      <c r="B2" t="s">
        <v>1</v>
      </c>
    </row>
    <row r="7" spans="2:2" x14ac:dyDescent="0.25">
      <c r="B7" t="s">
        <v>0</v>
      </c>
    </row>
  </sheetData>
  <sheetProtection algorithmName="SHA-512" hashValue="aA2P6Djn7abpEQwiUfnDJkXqlMSWzbbeiQNvRz+4MSgskkXCyu1r5py4FwfOSxH4QeU69TjuDfkgJSAHJqmsuw==" saltValue="S1FfTft1nnnUdqF6YZ9RTg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Group_List">
          <controlPr defaultSize="0" autoLine="0" autoPict="0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66675</xdr:rowOff>
              </to>
            </anchor>
          </controlPr>
        </control>
      </mc:Choice>
      <mc:Fallback>
        <control shapeId="1027" r:id="rId4" name="Group_List"/>
      </mc:Fallback>
    </mc:AlternateContent>
    <mc:AlternateContent xmlns:mc="http://schemas.openxmlformats.org/markup-compatibility/2006">
      <mc:Choice Requires="x14">
        <control shapeId="1026" r:id="rId6" name="Pupil_List">
          <controlPr defaultSize="0" autoLine="0" r:id="rId7">
            <anchor moveWithCells="1">
              <from>
                <xdr:col>1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57150</xdr:rowOff>
              </to>
            </anchor>
          </controlPr>
        </control>
      </mc:Choice>
      <mc:Fallback>
        <control shapeId="1026" r:id="rId6" name="Pupil_List"/>
      </mc:Fallback>
    </mc:AlternateContent>
    <mc:AlternateContent xmlns:mc="http://schemas.openxmlformats.org/markup-compatibility/2006">
      <mc:Choice Requires="x14">
        <control shapeId="1031" r:id="rId8" name="Button 7">
          <controlPr defaultSize="0" print="0" autoFill="0" autoPict="0" macro="[0]!ThisWorkbook.Start_Test">
            <anchor moveWithCells="1" sizeWithCells="1">
              <from>
                <xdr:col>1</xdr:col>
                <xdr:colOff>9525</xdr:colOff>
                <xdr:row>11</xdr:row>
                <xdr:rowOff>0</xdr:rowOff>
              </from>
              <to>
                <xdr:col>6</xdr:col>
                <xdr:colOff>600075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9" name="Button 8">
          <controlPr defaultSize="0" print="0" autoFill="0" autoPict="0" macro="[0]!ThisWorkbook.Exit_Module">
            <anchor moveWithCells="1" sizeWithCells="1">
              <from>
                <xdr:col>1</xdr:col>
                <xdr:colOff>19050</xdr:colOff>
                <xdr:row>15</xdr:row>
                <xdr:rowOff>0</xdr:rowOff>
              </from>
              <to>
                <xdr:col>7</xdr:col>
                <xdr:colOff>0</xdr:colOff>
                <xdr:row>17</xdr:row>
                <xdr:rowOff>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Metrics_Sheet"/>
  <dimension ref="A1:C5"/>
  <sheetViews>
    <sheetView workbookViewId="0">
      <selection activeCell="A7" sqref="A7"/>
    </sheetView>
  </sheetViews>
  <sheetFormatPr defaultRowHeight="15" x14ac:dyDescent="0.25"/>
  <cols>
    <col min="1" max="1" width="20.5703125" customWidth="1"/>
    <col min="2" max="2" width="24.140625" customWidth="1"/>
    <col min="3" max="3" width="21.5703125" customWidth="1"/>
    <col min="4" max="4" width="52.28515625" customWidth="1"/>
    <col min="5" max="5" width="17.85546875" customWidth="1"/>
  </cols>
  <sheetData>
    <row r="1" spans="1:3" ht="15.75" thickBot="1" x14ac:dyDescent="0.3">
      <c r="A1" t="str">
        <f>Результаты!F19</f>
        <v>Гинзбурга</v>
      </c>
    </row>
    <row r="2" spans="1:3" x14ac:dyDescent="0.25">
      <c r="A2">
        <f>Результаты!F20</f>
        <v>20</v>
      </c>
      <c r="B2" s="1"/>
      <c r="C2" s="2"/>
    </row>
    <row r="3" spans="1:3" x14ac:dyDescent="0.25">
      <c r="A3">
        <f>Результаты!F21</f>
        <v>1</v>
      </c>
      <c r="B3" s="3"/>
      <c r="C3" s="4"/>
    </row>
    <row r="4" spans="1:3" x14ac:dyDescent="0.25">
      <c r="A4">
        <f>Результаты!F22</f>
        <v>0</v>
      </c>
      <c r="B4" s="3"/>
      <c r="C4" s="4"/>
    </row>
    <row r="5" spans="1:3" ht="15.75" thickBot="1" x14ac:dyDescent="0.3">
      <c r="A5" t="str">
        <f>Результаты!F23</f>
        <v>V - низкий уровень мотивации учения</v>
      </c>
      <c r="B5" s="5"/>
      <c r="C5" s="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3</xdr:col>
                <xdr:colOff>57150</xdr:colOff>
                <xdr:row>14</xdr:row>
                <xdr:rowOff>152400</xdr:rowOff>
              </from>
              <to>
                <xdr:col>3</xdr:col>
                <xdr:colOff>2990850</xdr:colOff>
                <xdr:row>19</xdr:row>
                <xdr:rowOff>161925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TestRanges">
          <controlPr defaultSize="0" autoLine="0" r:id="rId7">
            <anchor moveWithCells="1">
              <from>
                <xdr:col>0</xdr:col>
                <xdr:colOff>1066800</xdr:colOff>
                <xdr:row>14</xdr:row>
                <xdr:rowOff>123825</xdr:rowOff>
              </from>
              <to>
                <xdr:col>2</xdr:col>
                <xdr:colOff>1019175</xdr:colOff>
                <xdr:row>19</xdr:row>
                <xdr:rowOff>133350</xdr:rowOff>
              </to>
            </anchor>
          </controlPr>
        </control>
      </mc:Choice>
      <mc:Fallback>
        <control shapeId="7169" r:id="rId6" name="TestRanges"/>
      </mc:Fallback>
    </mc:AlternateContent>
    <mc:AlternateContent xmlns:mc="http://schemas.openxmlformats.org/markup-compatibility/2006">
      <mc:Choice Requires="x14">
        <control shapeId="7170" r:id="rId8" name="Button 2">
          <controlPr defaultSize="0" print="0" autoFill="0" autoPict="0" macro="[0]!ThisWorkbook.Complete_Test">
            <anchor moveWithCells="1" sizeWithCells="1">
              <from>
                <xdr:col>3</xdr:col>
                <xdr:colOff>1047750</xdr:colOff>
                <xdr:row>8</xdr:row>
                <xdr:rowOff>171450</xdr:rowOff>
              </from>
              <to>
                <xdr:col>4</xdr:col>
                <xdr:colOff>609600</xdr:colOff>
                <xdr:row>10</xdr:row>
                <xdr:rowOff>180975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Вопрос 1</vt:lpstr>
      <vt:lpstr>Вопрос 2</vt:lpstr>
      <vt:lpstr>Вопрос 3</vt:lpstr>
      <vt:lpstr>Вопрос 4</vt:lpstr>
      <vt:lpstr>Результаты</vt:lpstr>
      <vt:lpstr>Титульная страница</vt:lpstr>
      <vt:lpstr>Итоговые метрики</vt:lpstr>
    </vt:vector>
  </TitlesOfParts>
  <Company>rg-adguard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2018-06-05T10:50:44Z</dcterms:created>
  <dcterms:modified xsi:type="dcterms:W3CDTF">2018-06-07T01:55:18Z</dcterms:modified>
</cp:coreProperties>
</file>