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jects\vladumur\finalized tests\"/>
    </mc:Choice>
  </mc:AlternateContent>
  <bookViews>
    <workbookView xWindow="0" yWindow="0" windowWidth="24705" windowHeight="12255" activeTab="3"/>
  </bookViews>
  <sheets>
    <sheet name="Текущий уровень" sheetId="4" r:id="rId1"/>
    <sheet name="Уровень притязаний" sheetId="5" r:id="rId2"/>
    <sheet name="Сводный лист" sheetId="6" r:id="rId3"/>
    <sheet name="Титульная страница" sheetId="1" r:id="rId4"/>
    <sheet name="Итоговые метрики" sheetId="3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B2" i="3"/>
  <c r="C2" i="3"/>
  <c r="D2" i="3"/>
  <c r="E2" i="3"/>
  <c r="F2" i="3"/>
  <c r="B3" i="3"/>
  <c r="C3" i="3"/>
  <c r="D3" i="3"/>
  <c r="E3" i="3"/>
  <c r="F3" i="3"/>
  <c r="B4" i="3"/>
  <c r="C4" i="3"/>
  <c r="D4" i="3"/>
  <c r="E4" i="3"/>
  <c r="F4" i="3"/>
  <c r="B5" i="3"/>
  <c r="C5" i="3"/>
  <c r="D5" i="3"/>
  <c r="E5" i="3"/>
  <c r="F5" i="3"/>
  <c r="A5" i="3"/>
  <c r="A3" i="3"/>
  <c r="A4" i="3"/>
  <c r="A2" i="3"/>
  <c r="G3" i="6"/>
  <c r="F3" i="6"/>
  <c r="G2" i="6"/>
  <c r="F2" i="6"/>
  <c r="E2" i="6"/>
  <c r="E3" i="6" s="1"/>
  <c r="D2" i="6"/>
  <c r="D3" i="6" s="1"/>
  <c r="I19" i="5"/>
  <c r="H19" i="5"/>
  <c r="G4" i="6" s="1"/>
  <c r="G5" i="6" s="1"/>
  <c r="G19" i="5"/>
  <c r="F4" i="6" s="1"/>
  <c r="F5" i="6" s="1"/>
  <c r="F19" i="5"/>
  <c r="E4" i="6" s="1"/>
  <c r="E19" i="5"/>
  <c r="D4" i="6" s="1"/>
  <c r="D19" i="5"/>
  <c r="C4" i="6" s="1"/>
  <c r="C19" i="5"/>
  <c r="B4" i="6" s="1"/>
  <c r="I19" i="4"/>
  <c r="H19" i="4"/>
  <c r="G19" i="4"/>
  <c r="F19" i="4"/>
  <c r="E19" i="4"/>
  <c r="C2" i="6" s="1"/>
  <c r="D19" i="4"/>
  <c r="B2" i="6" s="1"/>
  <c r="C19" i="4"/>
  <c r="F16" i="6" l="1"/>
  <c r="G16" i="6"/>
  <c r="B9" i="6"/>
  <c r="B5" i="6"/>
  <c r="C9" i="6"/>
  <c r="H4" i="6"/>
  <c r="C5" i="6"/>
  <c r="C6" i="6"/>
  <c r="C3" i="6"/>
  <c r="C8" i="6"/>
  <c r="C16" i="6"/>
  <c r="B8" i="6"/>
  <c r="B16" i="6"/>
  <c r="B6" i="6"/>
  <c r="B3" i="6"/>
  <c r="H2" i="6"/>
  <c r="D9" i="6"/>
  <c r="D5" i="6"/>
  <c r="D6" i="6"/>
  <c r="E9" i="6"/>
  <c r="E5" i="6"/>
  <c r="E6" i="6"/>
  <c r="G8" i="6"/>
  <c r="D16" i="6"/>
  <c r="D8" i="6"/>
  <c r="F9" i="6"/>
  <c r="F8" i="6"/>
  <c r="G9" i="6"/>
  <c r="F6" i="6"/>
  <c r="E16" i="6"/>
  <c r="E8" i="6"/>
  <c r="G6" i="6"/>
  <c r="H3" i="6" l="1"/>
  <c r="H8" i="6"/>
  <c r="H16" i="6"/>
  <c r="C10" i="6"/>
  <c r="C11" i="6" s="1"/>
  <c r="C15" i="6" s="1"/>
  <c r="C7" i="6"/>
  <c r="C17" i="6" s="1"/>
  <c r="G10" i="6"/>
  <c r="G11" i="6" s="1"/>
  <c r="G15" i="6" s="1"/>
  <c r="G7" i="6"/>
  <c r="G17" i="6" s="1"/>
  <c r="H6" i="6"/>
  <c r="H5" i="6"/>
  <c r="H9" i="6"/>
  <c r="F10" i="6"/>
  <c r="F11" i="6" s="1"/>
  <c r="F15" i="6" s="1"/>
  <c r="F7" i="6"/>
  <c r="F17" i="6" s="1"/>
  <c r="E10" i="6"/>
  <c r="E11" i="6" s="1"/>
  <c r="E15" i="6" s="1"/>
  <c r="E7" i="6"/>
  <c r="E17" i="6" s="1"/>
  <c r="B7" i="6"/>
  <c r="B17" i="6" s="1"/>
  <c r="B10" i="6"/>
  <c r="B11" i="6" s="1"/>
  <c r="B15" i="6" s="1"/>
  <c r="D10" i="6"/>
  <c r="D11" i="6" s="1"/>
  <c r="D15" i="6" s="1"/>
  <c r="D7" i="6"/>
  <c r="D17" i="6" s="1"/>
  <c r="H7" i="6" l="1"/>
  <c r="H10" i="6"/>
  <c r="H11" i="6"/>
  <c r="H15" i="6" s="1"/>
  <c r="H17" i="6"/>
</calcChain>
</file>

<file path=xl/sharedStrings.xml><?xml version="1.0" encoding="utf-8"?>
<sst xmlns="http://schemas.openxmlformats.org/spreadsheetml/2006/main" count="45" uniqueCount="31">
  <si>
    <t>Выбор ученика</t>
  </si>
  <si>
    <t>Выбор группы</t>
  </si>
  <si>
    <t>Какие по твоему мнению у тебя сейчас показатели?</t>
  </si>
  <si>
    <t>Здоровье</t>
  </si>
  <si>
    <t>Ум, способности</t>
  </si>
  <si>
    <t>Характер</t>
  </si>
  <si>
    <t>Авторитет у сверстников</t>
  </si>
  <si>
    <t>Умение многое делать своими руками</t>
  </si>
  <si>
    <t>Внешность</t>
  </si>
  <si>
    <t>Уверенность в себе</t>
  </si>
  <si>
    <t>Дальше</t>
  </si>
  <si>
    <t>А теперь отметь к какому уровню ты стремишься.</t>
  </si>
  <si>
    <t>Назад</t>
  </si>
  <si>
    <t>Завершить</t>
  </si>
  <si>
    <t>Авторитет</t>
  </si>
  <si>
    <t>Рукоделие</t>
  </si>
  <si>
    <t>Уверенность</t>
  </si>
  <si>
    <t>Среднее</t>
  </si>
  <si>
    <t>Самооценка</t>
  </si>
  <si>
    <t>Уровень самооценки</t>
  </si>
  <si>
    <t>Притязание</t>
  </si>
  <si>
    <t>Уровень притязаний</t>
  </si>
  <si>
    <t>Расхождение</t>
  </si>
  <si>
    <t>Дельта</t>
  </si>
  <si>
    <t>"нормальность"</t>
  </si>
  <si>
    <t>метрика</t>
  </si>
  <si>
    <t>балл</t>
  </si>
  <si>
    <t>ответ</t>
  </si>
  <si>
    <t>вывод</t>
  </si>
  <si>
    <t>Исследование самооценки по методике Дембо-Рубинштейн в модификации А.М. Прихожан</t>
  </si>
  <si>
    <t>Любой человек оценивает свои способности, возможности, характер и др. Уровень развития каждого качества, стороны человеческой личности можно условно изобразить вертикальной линией, нижняя точка которой будет символизировать самое низкое развитие, а верхняя — наивысшее.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</si>
</sst>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/>
  </cellStyleXfs>
  <cellXfs count="26">
    <xf numFmtId="0" fontId="0" fillId="0" borderId="0" xfId="0"/>
    <xf numFmtId="0" fontId="0" fillId="0" borderId="0" xfId="0" applyBorder="1"/>
    <xf numFmtId="0" fontId="3" fillId="0" borderId="0" xfId="1"/>
    <xf numFmtId="0" fontId="3" fillId="0" borderId="0" xfId="1" applyAlignment="1">
      <alignment wrapText="1"/>
    </xf>
    <xf numFmtId="0" fontId="3" fillId="0" borderId="0" xfId="1" applyAlignment="1">
      <alignment horizontal="center" vertical="center" wrapText="1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center" vertical="center"/>
      <protection locked="0"/>
    </xf>
    <xf numFmtId="0" fontId="2" fillId="0" borderId="0" xfId="1" applyFont="1" applyAlignment="1">
      <alignment horizontal="right"/>
    </xf>
    <xf numFmtId="0" fontId="2" fillId="0" borderId="0" xfId="1" applyFont="1"/>
    <xf numFmtId="0" fontId="3" fillId="0" borderId="1" xfId="1" applyBorder="1"/>
    <xf numFmtId="0" fontId="2" fillId="0" borderId="1" xfId="1" applyFont="1" applyBorder="1"/>
    <xf numFmtId="0" fontId="2" fillId="0" borderId="1" xfId="1" applyFont="1" applyFill="1" applyBorder="1"/>
    <xf numFmtId="0" fontId="2" fillId="0" borderId="1" xfId="1" applyFont="1" applyBorder="1" applyAlignment="1">
      <alignment wrapText="1"/>
    </xf>
    <xf numFmtId="0" fontId="3" fillId="0" borderId="1" xfId="1" applyBorder="1" applyAlignment="1">
      <alignment horizontal="left" vertical="center"/>
    </xf>
    <xf numFmtId="0" fontId="3" fillId="0" borderId="1" xfId="1" applyBorder="1" applyAlignment="1">
      <alignment horizontal="left" vertical="top" wrapText="1"/>
    </xf>
    <xf numFmtId="0" fontId="3" fillId="0" borderId="1" xfId="1" applyBorder="1" applyAlignment="1">
      <alignment horizontal="left" vertical="top"/>
    </xf>
    <xf numFmtId="0" fontId="2" fillId="0" borderId="1" xfId="1" applyFont="1" applyFill="1" applyBorder="1" applyAlignment="1">
      <alignment wrapText="1"/>
    </xf>
    <xf numFmtId="0" fontId="3" fillId="0" borderId="1" xfId="1" applyBorder="1" applyAlignment="1">
      <alignment horizontal="center" vertical="center" wrapText="1"/>
    </xf>
    <xf numFmtId="0" fontId="3" fillId="0" borderId="1" xfId="1" applyBorder="1" applyAlignment="1">
      <alignment horizontal="center" vertical="center"/>
    </xf>
    <xf numFmtId="0" fontId="2" fillId="0" borderId="2" xfId="1" applyFont="1" applyFill="1" applyBorder="1" applyAlignment="1">
      <alignment wrapText="1"/>
    </xf>
    <xf numFmtId="0" fontId="4" fillId="0" borderId="0" xfId="1" applyFont="1"/>
    <xf numFmtId="0" fontId="4" fillId="0" borderId="0" xfId="1" applyFont="1" applyAlignment="1" applyProtection="1">
      <alignment horizontal="center"/>
      <protection locked="0"/>
    </xf>
    <xf numFmtId="0" fontId="5" fillId="0" borderId="0" xfId="1" applyFont="1" applyAlignment="1">
      <alignment horizontal="center" vertical="center" wrapText="1"/>
    </xf>
    <xf numFmtId="0" fontId="4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  <xf numFmtId="0" fontId="3" fillId="0" borderId="0" xfId="1" applyAlignment="1">
      <alignment horizontal="left" vertical="top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croll" dx="16" fmlaLink="$C$18" max="100" page="10" val="50"/>
</file>

<file path=xl/ctrlProps/ctrlProp2.xml><?xml version="1.0" encoding="utf-8"?>
<formControlPr xmlns="http://schemas.microsoft.com/office/spreadsheetml/2009/9/main" objectType="Scroll" dx="16" fmlaLink="$D$18" max="100" page="10" val="50"/>
</file>

<file path=xl/ctrlProps/ctrlProp3.xml><?xml version="1.0" encoding="utf-8"?>
<formControlPr xmlns="http://schemas.microsoft.com/office/spreadsheetml/2009/9/main" objectType="Scroll" dx="16" fmlaLink="$E$18" max="100" page="10" val="50"/>
</file>

<file path=xl/ctrlProps/ctrlProp4.xml><?xml version="1.0" encoding="utf-8"?>
<formControlPr xmlns="http://schemas.microsoft.com/office/spreadsheetml/2009/9/main" objectType="Scroll" dx="16" fmlaLink="$F$18" max="100" page="10" val="50"/>
</file>

<file path=xl/ctrlProps/ctrlProp5.xml><?xml version="1.0" encoding="utf-8"?>
<formControlPr xmlns="http://schemas.microsoft.com/office/spreadsheetml/2009/9/main" objectType="Scroll" dx="16" fmlaLink="$G$18" max="100" page="10" val="50"/>
</file>

<file path=xl/ctrlProps/ctrlProp6.xml><?xml version="1.0" encoding="utf-8"?>
<formControlPr xmlns="http://schemas.microsoft.com/office/spreadsheetml/2009/9/main" objectType="Scroll" dx="16" fmlaLink="$H$18" max="100" page="10" val="50"/>
</file>

<file path=xl/ctrlProps/ctrlProp7.xml><?xml version="1.0" encoding="utf-8"?>
<formControlPr xmlns="http://schemas.microsoft.com/office/spreadsheetml/2009/9/main" objectType="Scroll" dx="16" fmlaLink="$I$18" max="100" page="10" val="50"/>
</file>

<file path=xl/ctrlProps/ctrlProp8.xml><?xml version="1.0" encoding="utf-8"?>
<formControlPr xmlns="http://schemas.microsoft.com/office/spreadsheetml/2009/9/main" objectType="Scroll" dx="16" fmlaLink="$C$18" max="100" page="10" val="50"/>
</file>

<file path=xl/ctrlProps/ctrlProp9.xml><?xml version="1.0" encoding="utf-8"?>
<formControlPr xmlns="http://schemas.microsoft.com/office/spreadsheetml/2009/9/main" objectType="Scroll" dx="16" fmlaLink="$D$18" max="100" page="10" val="50"/>
</file>

<file path=xl/ctrlProps/ctrlProp10.xml><?xml version="1.0" encoding="utf-8"?>
<formControlPr xmlns="http://schemas.microsoft.com/office/spreadsheetml/2009/9/main" objectType="Scroll" dx="16" fmlaLink="$E$18" max="100" page="10" val="50"/>
</file>

<file path=xl/ctrlProps/ctrlProp11.xml><?xml version="1.0" encoding="utf-8"?>
<formControlPr xmlns="http://schemas.microsoft.com/office/spreadsheetml/2009/9/main" objectType="Scroll" dx="16" fmlaLink="$F$18" max="100" page="10" val="50"/>
</file>

<file path=xl/ctrlProps/ctrlProp12.xml><?xml version="1.0" encoding="utf-8"?>
<formControlPr xmlns="http://schemas.microsoft.com/office/spreadsheetml/2009/9/main" objectType="Scroll" dx="16" fmlaLink="$G$18" max="100" page="10" val="50"/>
</file>

<file path=xl/ctrlProps/ctrlProp13.xml><?xml version="1.0" encoding="utf-8"?>
<formControlPr xmlns="http://schemas.microsoft.com/office/spreadsheetml/2009/9/main" objectType="Scroll" dx="16" fmlaLink="$H$18" max="100" page="10" val="50"/>
</file>

<file path=xl/ctrlProps/ctrlProp14.xml><?xml version="1.0" encoding="utf-8"?>
<formControlPr xmlns="http://schemas.microsoft.com/office/spreadsheetml/2009/9/main" objectType="Scroll" dx="16" fmlaLink="$I$18" max="100" page="10" val="5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&#1059;&#1088;&#1086;&#1074;&#1077;&#1085;&#1100; &#1087;&#1088;&#1080;&#1090;&#1103;&#1079;&#1072;&#1085;&#1080;&#1081;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&#1058;&#1077;&#1082;&#1091;&#1097;&#1080;&#1081; &#1091;&#1088;&#1086;&#1074;&#1077;&#1085;&#1100;'!A1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9525</xdr:rowOff>
        </xdr:from>
        <xdr:to>
          <xdr:col>2</xdr:col>
          <xdr:colOff>704850</xdr:colOff>
          <xdr:row>15</xdr:row>
          <xdr:rowOff>76200</xdr:rowOff>
        </xdr:to>
        <xdr:sp macro="" textlink="">
          <xdr:nvSpPr>
            <xdr:cNvPr id="8193" name="Scroll Bar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4</xdr:row>
          <xdr:rowOff>9525</xdr:rowOff>
        </xdr:from>
        <xdr:to>
          <xdr:col>3</xdr:col>
          <xdr:colOff>704850</xdr:colOff>
          <xdr:row>15</xdr:row>
          <xdr:rowOff>76200</xdr:rowOff>
        </xdr:to>
        <xdr:sp macro="" textlink="">
          <xdr:nvSpPr>
            <xdr:cNvPr id="8194" name="Scroll Ba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4</xdr:row>
          <xdr:rowOff>9525</xdr:rowOff>
        </xdr:from>
        <xdr:to>
          <xdr:col>4</xdr:col>
          <xdr:colOff>704850</xdr:colOff>
          <xdr:row>15</xdr:row>
          <xdr:rowOff>76200</xdr:rowOff>
        </xdr:to>
        <xdr:sp macro="" textlink="">
          <xdr:nvSpPr>
            <xdr:cNvPr id="8195" name="Scroll Ba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</xdr:row>
          <xdr:rowOff>9525</xdr:rowOff>
        </xdr:from>
        <xdr:to>
          <xdr:col>5</xdr:col>
          <xdr:colOff>704850</xdr:colOff>
          <xdr:row>15</xdr:row>
          <xdr:rowOff>76200</xdr:rowOff>
        </xdr:to>
        <xdr:sp macro="" textlink="">
          <xdr:nvSpPr>
            <xdr:cNvPr id="8196" name="Scroll Bar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9525</xdr:rowOff>
        </xdr:from>
        <xdr:to>
          <xdr:col>6</xdr:col>
          <xdr:colOff>704850</xdr:colOff>
          <xdr:row>15</xdr:row>
          <xdr:rowOff>76200</xdr:rowOff>
        </xdr:to>
        <xdr:sp macro="" textlink="">
          <xdr:nvSpPr>
            <xdr:cNvPr id="8197" name="Scroll Bar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4</xdr:row>
          <xdr:rowOff>9525</xdr:rowOff>
        </xdr:from>
        <xdr:to>
          <xdr:col>7</xdr:col>
          <xdr:colOff>704850</xdr:colOff>
          <xdr:row>15</xdr:row>
          <xdr:rowOff>76200</xdr:rowOff>
        </xdr:to>
        <xdr:sp macro="" textlink="">
          <xdr:nvSpPr>
            <xdr:cNvPr id="8198" name="Scroll Ba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4</xdr:row>
          <xdr:rowOff>9525</xdr:rowOff>
        </xdr:from>
        <xdr:to>
          <xdr:col>8</xdr:col>
          <xdr:colOff>714375</xdr:colOff>
          <xdr:row>15</xdr:row>
          <xdr:rowOff>76200</xdr:rowOff>
        </xdr:to>
        <xdr:sp macro="" textlink="">
          <xdr:nvSpPr>
            <xdr:cNvPr id="8199" name="Scroll Bar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227134</xdr:colOff>
      <xdr:row>20</xdr:row>
      <xdr:rowOff>14654</xdr:rowOff>
    </xdr:from>
    <xdr:to>
      <xdr:col>8</xdr:col>
      <xdr:colOff>805961</xdr:colOff>
      <xdr:row>22</xdr:row>
      <xdr:rowOff>183174</xdr:rowOff>
    </xdr:to>
    <xdr:sp macro="" textlink="">
      <xdr:nvSpPr>
        <xdr:cNvPr id="9" name="Прямоугольник 1">
          <a:hlinkClick xmlns:r="http://schemas.openxmlformats.org/officeDocument/2006/relationships" r:id="rId1"/>
        </xdr:cNvPr>
        <xdr:cNvSpPr/>
      </xdr:nvSpPr>
      <xdr:spPr>
        <a:xfrm>
          <a:off x="8609134" y="4177079"/>
          <a:ext cx="578827" cy="54952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>
                  <a:lumMod val="65000"/>
                  <a:lumOff val="35000"/>
                </a:schemeClr>
              </a:solidFill>
              <a:latin typeface="Agency FB" pitchFamily="34" charset="0"/>
            </a:rPr>
            <a:t>&gt;</a:t>
          </a:r>
          <a:endParaRPr lang="ru-RU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855785</xdr:colOff>
      <xdr:row>13</xdr:row>
      <xdr:rowOff>86460</xdr:rowOff>
    </xdr:from>
    <xdr:to>
      <xdr:col>8</xdr:col>
      <xdr:colOff>1040423</xdr:colOff>
      <xdr:row>15</xdr:row>
      <xdr:rowOff>80598</xdr:rowOff>
    </xdr:to>
    <xdr:sp macro="" textlink="">
      <xdr:nvSpPr>
        <xdr:cNvPr id="10" name="Rectangle 9"/>
        <xdr:cNvSpPr/>
      </xdr:nvSpPr>
      <xdr:spPr>
        <a:xfrm>
          <a:off x="1903535" y="3191610"/>
          <a:ext cx="7518888" cy="375138"/>
        </a:xfrm>
        <a:prstGeom prst="rect">
          <a:avLst/>
        </a:prstGeom>
        <a:gradFill>
          <a:gsLst>
            <a:gs pos="0">
              <a:schemeClr val="accent1">
                <a:lumMod val="0"/>
                <a:lumOff val="100000"/>
                <a:alpha val="50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693127</xdr:colOff>
      <xdr:row>3</xdr:row>
      <xdr:rowOff>187572</xdr:rowOff>
    </xdr:from>
    <xdr:to>
      <xdr:col>8</xdr:col>
      <xdr:colOff>877765</xdr:colOff>
      <xdr:row>5</xdr:row>
      <xdr:rowOff>181710</xdr:rowOff>
    </xdr:to>
    <xdr:sp macro="" textlink="">
      <xdr:nvSpPr>
        <xdr:cNvPr id="11" name="Rectangle 10"/>
        <xdr:cNvSpPr/>
      </xdr:nvSpPr>
      <xdr:spPr>
        <a:xfrm>
          <a:off x="1740877" y="1387722"/>
          <a:ext cx="7518888" cy="375138"/>
        </a:xfrm>
        <a:prstGeom prst="rect">
          <a:avLst/>
        </a:prstGeom>
        <a:gradFill>
          <a:gsLst>
            <a:gs pos="0">
              <a:schemeClr val="accent1">
                <a:lumMod val="0"/>
                <a:lumOff val="100000"/>
                <a:alpha val="50000"/>
              </a:schemeClr>
            </a:gs>
            <a:gs pos="100000">
              <a:schemeClr val="bg1"/>
            </a:gs>
          </a:gsLst>
          <a:lin ang="162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352425</xdr:colOff>
          <xdr:row>4</xdr:row>
          <xdr:rowOff>9525</xdr:rowOff>
        </xdr:from>
        <xdr:to>
          <xdr:col>2</xdr:col>
          <xdr:colOff>714375</xdr:colOff>
          <xdr:row>15</xdr:row>
          <xdr:rowOff>76200</xdr:rowOff>
        </xdr:to>
        <xdr:sp macro="" textlink="">
          <xdr:nvSpPr>
            <xdr:cNvPr id="9217" name="Scroll Bar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4</xdr:row>
          <xdr:rowOff>9525</xdr:rowOff>
        </xdr:from>
        <xdr:to>
          <xdr:col>3</xdr:col>
          <xdr:colOff>714375</xdr:colOff>
          <xdr:row>15</xdr:row>
          <xdr:rowOff>76200</xdr:rowOff>
        </xdr:to>
        <xdr:sp macro="" textlink="">
          <xdr:nvSpPr>
            <xdr:cNvPr id="9218" name="Scroll Bar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4</xdr:row>
          <xdr:rowOff>9525</xdr:rowOff>
        </xdr:from>
        <xdr:to>
          <xdr:col>4</xdr:col>
          <xdr:colOff>714375</xdr:colOff>
          <xdr:row>15</xdr:row>
          <xdr:rowOff>76200</xdr:rowOff>
        </xdr:to>
        <xdr:sp macro="" textlink="">
          <xdr:nvSpPr>
            <xdr:cNvPr id="9219" name="Scroll Bar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4</xdr:row>
          <xdr:rowOff>9525</xdr:rowOff>
        </xdr:from>
        <xdr:to>
          <xdr:col>5</xdr:col>
          <xdr:colOff>714375</xdr:colOff>
          <xdr:row>15</xdr:row>
          <xdr:rowOff>76200</xdr:rowOff>
        </xdr:to>
        <xdr:sp macro="" textlink="">
          <xdr:nvSpPr>
            <xdr:cNvPr id="9220" name="Scroll Bar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4</xdr:row>
          <xdr:rowOff>9525</xdr:rowOff>
        </xdr:from>
        <xdr:to>
          <xdr:col>6</xdr:col>
          <xdr:colOff>714375</xdr:colOff>
          <xdr:row>15</xdr:row>
          <xdr:rowOff>76200</xdr:rowOff>
        </xdr:to>
        <xdr:sp macro="" textlink="">
          <xdr:nvSpPr>
            <xdr:cNvPr id="9221" name="Scroll Bar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4</xdr:row>
          <xdr:rowOff>9525</xdr:rowOff>
        </xdr:from>
        <xdr:to>
          <xdr:col>7</xdr:col>
          <xdr:colOff>714375</xdr:colOff>
          <xdr:row>15</xdr:row>
          <xdr:rowOff>76200</xdr:rowOff>
        </xdr:to>
        <xdr:sp macro="" textlink="">
          <xdr:nvSpPr>
            <xdr:cNvPr id="9222" name="Scroll Bar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352425</xdr:colOff>
          <xdr:row>4</xdr:row>
          <xdr:rowOff>9525</xdr:rowOff>
        </xdr:from>
        <xdr:to>
          <xdr:col>8</xdr:col>
          <xdr:colOff>714375</xdr:colOff>
          <xdr:row>15</xdr:row>
          <xdr:rowOff>76200</xdr:rowOff>
        </xdr:to>
        <xdr:sp macro="" textlink="">
          <xdr:nvSpPr>
            <xdr:cNvPr id="9223" name="Scroll Bar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227134</xdr:colOff>
      <xdr:row>20</xdr:row>
      <xdr:rowOff>14654</xdr:rowOff>
    </xdr:from>
    <xdr:to>
      <xdr:col>8</xdr:col>
      <xdr:colOff>805961</xdr:colOff>
      <xdr:row>22</xdr:row>
      <xdr:rowOff>183174</xdr:rowOff>
    </xdr:to>
    <xdr:sp macro="[0]!ThisWorkbook.Complete_Test" textlink="">
      <xdr:nvSpPr>
        <xdr:cNvPr id="9" name="Прямоугольник 9"/>
        <xdr:cNvSpPr/>
      </xdr:nvSpPr>
      <xdr:spPr>
        <a:xfrm>
          <a:off x="8609134" y="4177079"/>
          <a:ext cx="578827" cy="54952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>
                  <a:lumMod val="65000"/>
                  <a:lumOff val="35000"/>
                </a:schemeClr>
              </a:solidFill>
              <a:latin typeface="Agency FB" pitchFamily="34" charset="0"/>
            </a:rPr>
            <a:t>&gt;</a:t>
          </a:r>
          <a:endParaRPr lang="ru-RU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</xdr:col>
      <xdr:colOff>227134</xdr:colOff>
      <xdr:row>20</xdr:row>
      <xdr:rowOff>14654</xdr:rowOff>
    </xdr:from>
    <xdr:to>
      <xdr:col>2</xdr:col>
      <xdr:colOff>805961</xdr:colOff>
      <xdr:row>22</xdr:row>
      <xdr:rowOff>183174</xdr:rowOff>
    </xdr:to>
    <xdr:sp macro="" textlink="">
      <xdr:nvSpPr>
        <xdr:cNvPr id="10" name="Прямоугольник 11">
          <a:hlinkClick xmlns:r="http://schemas.openxmlformats.org/officeDocument/2006/relationships" r:id="rId1"/>
        </xdr:cNvPr>
        <xdr:cNvSpPr/>
      </xdr:nvSpPr>
      <xdr:spPr>
        <a:xfrm>
          <a:off x="2322634" y="4177079"/>
          <a:ext cx="578827" cy="54952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>
                  <a:lumMod val="65000"/>
                  <a:lumOff val="35000"/>
                </a:schemeClr>
              </a:solidFill>
              <a:latin typeface="Agency FB" pitchFamily="34" charset="0"/>
            </a:rPr>
            <a:t>&lt;</a:t>
          </a:r>
          <a:endParaRPr lang="ru-RU" sz="11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741484</xdr:colOff>
      <xdr:row>13</xdr:row>
      <xdr:rowOff>96715</xdr:rowOff>
    </xdr:from>
    <xdr:to>
      <xdr:col>8</xdr:col>
      <xdr:colOff>926122</xdr:colOff>
      <xdr:row>15</xdr:row>
      <xdr:rowOff>90853</xdr:rowOff>
    </xdr:to>
    <xdr:sp macro="" textlink="">
      <xdr:nvSpPr>
        <xdr:cNvPr id="11" name="Rectangle 10"/>
        <xdr:cNvSpPr/>
      </xdr:nvSpPr>
      <xdr:spPr>
        <a:xfrm>
          <a:off x="1789234" y="3201865"/>
          <a:ext cx="7518888" cy="375138"/>
        </a:xfrm>
        <a:prstGeom prst="rect">
          <a:avLst/>
        </a:prstGeom>
        <a:gradFill>
          <a:gsLst>
            <a:gs pos="0">
              <a:schemeClr val="accent1">
                <a:lumMod val="0"/>
                <a:lumOff val="100000"/>
                <a:alpha val="50000"/>
              </a:schemeClr>
            </a:gs>
            <a:gs pos="100000">
              <a:schemeClr val="bg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578826</xdr:colOff>
      <xdr:row>4</xdr:row>
      <xdr:rowOff>7327</xdr:rowOff>
    </xdr:from>
    <xdr:to>
      <xdr:col>8</xdr:col>
      <xdr:colOff>763464</xdr:colOff>
      <xdr:row>6</xdr:row>
      <xdr:rowOff>1465</xdr:rowOff>
    </xdr:to>
    <xdr:sp macro="" textlink="">
      <xdr:nvSpPr>
        <xdr:cNvPr id="12" name="Rectangle 11"/>
        <xdr:cNvSpPr/>
      </xdr:nvSpPr>
      <xdr:spPr>
        <a:xfrm>
          <a:off x="1626576" y="1397977"/>
          <a:ext cx="7518888" cy="375138"/>
        </a:xfrm>
        <a:prstGeom prst="rect">
          <a:avLst/>
        </a:prstGeom>
        <a:gradFill>
          <a:gsLst>
            <a:gs pos="0">
              <a:schemeClr val="accent1">
                <a:lumMod val="0"/>
                <a:lumOff val="100000"/>
                <a:alpha val="50000"/>
              </a:schemeClr>
            </a:gs>
            <a:gs pos="100000">
              <a:schemeClr val="bg1"/>
            </a:gs>
          </a:gsLst>
          <a:lin ang="162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0</xdr:rowOff>
        </xdr:from>
        <xdr:to>
          <xdr:col>7</xdr:col>
          <xdr:colOff>9525</xdr:colOff>
          <xdr:row>9</xdr:row>
          <xdr:rowOff>57150</xdr:rowOff>
        </xdr:to>
        <xdr:sp macro="" textlink="">
          <xdr:nvSpPr>
            <xdr:cNvPr id="1026" name="Pupil_Li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9525</xdr:rowOff>
        </xdr:from>
        <xdr:to>
          <xdr:col>7</xdr:col>
          <xdr:colOff>9525</xdr:colOff>
          <xdr:row>4</xdr:row>
          <xdr:rowOff>66675</xdr:rowOff>
        </xdr:to>
        <xdr:sp macro="" textlink="">
          <xdr:nvSpPr>
            <xdr:cNvPr id="1027" name="Group_List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0</xdr:rowOff>
        </xdr:from>
        <xdr:to>
          <xdr:col>6</xdr:col>
          <xdr:colOff>600075</xdr:colOff>
          <xdr:row>13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0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модуль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15</xdr:row>
          <xdr:rowOff>142875</xdr:rowOff>
        </xdr:from>
        <xdr:to>
          <xdr:col>4</xdr:col>
          <xdr:colOff>133350</xdr:colOff>
          <xdr:row>20</xdr:row>
          <xdr:rowOff>152400</xdr:rowOff>
        </xdr:to>
        <xdr:sp macro="" textlink="">
          <xdr:nvSpPr>
            <xdr:cNvPr id="7169" name="TestRanges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838200</xdr:colOff>
          <xdr:row>10</xdr:row>
          <xdr:rowOff>180975</xdr:rowOff>
        </xdr:from>
        <xdr:to>
          <xdr:col>4</xdr:col>
          <xdr:colOff>28575</xdr:colOff>
          <xdr:row>13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Завершить тест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15</xdr:row>
          <xdr:rowOff>0</xdr:rowOff>
        </xdr:from>
        <xdr:to>
          <xdr:col>8</xdr:col>
          <xdr:colOff>190500</xdr:colOff>
          <xdr:row>20</xdr:row>
          <xdr:rowOff>9525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22"/>
  <sheetViews>
    <sheetView showGridLines="0" zoomScaleNormal="100" workbookViewId="0">
      <selection activeCell="C2" sqref="C2:I2"/>
    </sheetView>
  </sheetViews>
  <sheetFormatPr defaultRowHeight="15" x14ac:dyDescent="0.25"/>
  <cols>
    <col min="1" max="14" width="15.7109375" style="2" customWidth="1"/>
    <col min="15" max="16384" width="9.140625" style="2"/>
  </cols>
  <sheetData>
    <row r="1" spans="1:17" ht="60" customHeight="1" x14ac:dyDescent="0.25">
      <c r="A1" s="22" t="s">
        <v>30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3"/>
    </row>
    <row r="2" spans="1:17" ht="30" customHeight="1" x14ac:dyDescent="0.25">
      <c r="C2" s="23" t="s">
        <v>2</v>
      </c>
      <c r="D2" s="23"/>
      <c r="E2" s="23"/>
      <c r="F2" s="23"/>
      <c r="G2" s="23"/>
      <c r="H2" s="23"/>
      <c r="I2" s="23"/>
    </row>
    <row r="3" spans="1:17" ht="48.75" customHeight="1" x14ac:dyDescent="0.25">
      <c r="A3" s="4"/>
      <c r="B3" s="4"/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5" t="s">
        <v>9</v>
      </c>
      <c r="J3" s="4"/>
      <c r="K3" s="4"/>
      <c r="L3" s="4"/>
      <c r="M3" s="4"/>
      <c r="N3" s="3"/>
      <c r="O3" s="3"/>
      <c r="P3" s="3"/>
      <c r="Q3" s="3"/>
    </row>
    <row r="17" spans="3:9" ht="4.5" customHeight="1" x14ac:dyDescent="0.25"/>
    <row r="18" spans="3:9" hidden="1" x14ac:dyDescent="0.25">
      <c r="C18" s="6">
        <v>50</v>
      </c>
      <c r="D18" s="6">
        <v>50</v>
      </c>
      <c r="E18" s="6">
        <v>50</v>
      </c>
      <c r="F18" s="6">
        <v>50</v>
      </c>
      <c r="G18" s="6">
        <v>50</v>
      </c>
      <c r="H18" s="6">
        <v>50</v>
      </c>
      <c r="I18" s="6">
        <v>50</v>
      </c>
    </row>
    <row r="19" spans="3:9" ht="18.75" x14ac:dyDescent="0.3">
      <c r="C19" s="21">
        <f>(C18-100)*-1</f>
        <v>50</v>
      </c>
      <c r="D19" s="21">
        <f t="shared" ref="D19:I19" si="0">(D18-100)*-1</f>
        <v>50</v>
      </c>
      <c r="E19" s="21">
        <f t="shared" si="0"/>
        <v>50</v>
      </c>
      <c r="F19" s="21">
        <f t="shared" si="0"/>
        <v>50</v>
      </c>
      <c r="G19" s="21">
        <f t="shared" si="0"/>
        <v>50</v>
      </c>
      <c r="H19" s="21">
        <f t="shared" si="0"/>
        <v>50</v>
      </c>
      <c r="I19" s="21">
        <f t="shared" si="0"/>
        <v>50</v>
      </c>
    </row>
    <row r="22" spans="3:9" x14ac:dyDescent="0.25">
      <c r="H22" s="7" t="s">
        <v>10</v>
      </c>
    </row>
  </sheetData>
  <sheetProtection algorithmName="SHA-512" hashValue="0K7D0kGP/DJ9vYHUARAobpnR7mYWxrsvVCrflkmmxV82fkF6u2p0pqgtkkHs/JBah1xp6/XbFmg8Z82uwrwpew==" saltValue="Z+FXElevJRImM75mU/xYWQ==" spinCount="100000" sheet="1" objects="1" scenarios="1" selectLockedCells="1" selectUnlockedCells="1"/>
  <mergeCells count="2">
    <mergeCell ref="A1:K1"/>
    <mergeCell ref="C2:I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croll Bar 1">
              <controlPr defaultSize="0" autoPict="0">
                <anchor moveWithCells="1">
                  <from>
                    <xdr:col>2</xdr:col>
                    <xdr:colOff>342900</xdr:colOff>
                    <xdr:row>4</xdr:row>
                    <xdr:rowOff>9525</xdr:rowOff>
                  </from>
                  <to>
                    <xdr:col>2</xdr:col>
                    <xdr:colOff>704850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croll Bar 2">
              <controlPr defaultSize="0" autoPict="0">
                <anchor moveWithCells="1">
                  <from>
                    <xdr:col>3</xdr:col>
                    <xdr:colOff>342900</xdr:colOff>
                    <xdr:row>4</xdr:row>
                    <xdr:rowOff>9525</xdr:rowOff>
                  </from>
                  <to>
                    <xdr:col>3</xdr:col>
                    <xdr:colOff>704850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croll Bar 3">
              <controlPr defaultSize="0" autoPict="0">
                <anchor moveWithCells="1">
                  <from>
                    <xdr:col>4</xdr:col>
                    <xdr:colOff>342900</xdr:colOff>
                    <xdr:row>4</xdr:row>
                    <xdr:rowOff>9525</xdr:rowOff>
                  </from>
                  <to>
                    <xdr:col>4</xdr:col>
                    <xdr:colOff>704850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Scroll Bar 4">
              <controlPr defaultSize="0" autoPict="0">
                <anchor moveWithCells="1">
                  <from>
                    <xdr:col>5</xdr:col>
                    <xdr:colOff>342900</xdr:colOff>
                    <xdr:row>4</xdr:row>
                    <xdr:rowOff>9525</xdr:rowOff>
                  </from>
                  <to>
                    <xdr:col>5</xdr:col>
                    <xdr:colOff>704850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Scroll Bar 5">
              <controlPr defaultSize="0" autoPict="0">
                <anchor moveWithCells="1">
                  <from>
                    <xdr:col>6</xdr:col>
                    <xdr:colOff>342900</xdr:colOff>
                    <xdr:row>4</xdr:row>
                    <xdr:rowOff>9525</xdr:rowOff>
                  </from>
                  <to>
                    <xdr:col>6</xdr:col>
                    <xdr:colOff>704850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Scroll Bar 6">
              <controlPr defaultSize="0" autoPict="0">
                <anchor moveWithCells="1">
                  <from>
                    <xdr:col>7</xdr:col>
                    <xdr:colOff>342900</xdr:colOff>
                    <xdr:row>4</xdr:row>
                    <xdr:rowOff>9525</xdr:rowOff>
                  </from>
                  <to>
                    <xdr:col>7</xdr:col>
                    <xdr:colOff>704850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Scroll Bar 7">
              <controlPr defaultSize="0" autoPict="0">
                <anchor moveWithCells="1">
                  <from>
                    <xdr:col>8</xdr:col>
                    <xdr:colOff>352425</xdr:colOff>
                    <xdr:row>4</xdr:row>
                    <xdr:rowOff>9525</xdr:rowOff>
                  </from>
                  <to>
                    <xdr:col>8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22"/>
  <sheetViews>
    <sheetView showGridLines="0" zoomScaleNormal="100" workbookViewId="0">
      <selection activeCell="F26" sqref="F26"/>
    </sheetView>
  </sheetViews>
  <sheetFormatPr defaultRowHeight="15" x14ac:dyDescent="0.25"/>
  <cols>
    <col min="1" max="14" width="15.7109375" style="2" customWidth="1"/>
    <col min="15" max="16384" width="9.140625" style="2"/>
  </cols>
  <sheetData>
    <row r="1" spans="1:17" ht="60" customHeight="1" x14ac:dyDescent="0.25"/>
    <row r="2" spans="1:17" ht="30" customHeight="1" x14ac:dyDescent="0.25">
      <c r="C2" s="24" t="s">
        <v>11</v>
      </c>
      <c r="D2" s="24"/>
      <c r="E2" s="24"/>
      <c r="F2" s="24"/>
      <c r="G2" s="24"/>
      <c r="H2" s="24"/>
      <c r="I2" s="24"/>
    </row>
    <row r="3" spans="1:17" ht="48.75" customHeight="1" x14ac:dyDescent="0.25">
      <c r="A3" s="4"/>
      <c r="B3" s="4"/>
      <c r="C3" s="5" t="s">
        <v>3</v>
      </c>
      <c r="D3" s="5" t="s">
        <v>4</v>
      </c>
      <c r="E3" s="5" t="s">
        <v>5</v>
      </c>
      <c r="F3" s="5" t="s">
        <v>6</v>
      </c>
      <c r="G3" s="5" t="s">
        <v>7</v>
      </c>
      <c r="H3" s="5" t="s">
        <v>8</v>
      </c>
      <c r="I3" s="5" t="s">
        <v>9</v>
      </c>
      <c r="J3" s="4"/>
      <c r="K3" s="4"/>
      <c r="L3" s="4"/>
      <c r="M3" s="4"/>
      <c r="N3" s="3"/>
      <c r="O3" s="3"/>
      <c r="P3" s="3"/>
      <c r="Q3" s="3"/>
    </row>
    <row r="17" spans="3:9" ht="4.5" customHeight="1" x14ac:dyDescent="0.25"/>
    <row r="18" spans="3:9" hidden="1" x14ac:dyDescent="0.25">
      <c r="C18" s="6">
        <v>50</v>
      </c>
      <c r="D18" s="6">
        <v>50</v>
      </c>
      <c r="E18" s="6">
        <v>50</v>
      </c>
      <c r="F18" s="6">
        <v>50</v>
      </c>
      <c r="G18" s="6">
        <v>50</v>
      </c>
      <c r="H18" s="6">
        <v>50</v>
      </c>
      <c r="I18" s="6">
        <v>50</v>
      </c>
    </row>
    <row r="19" spans="3:9" ht="18.75" x14ac:dyDescent="0.3">
      <c r="C19" s="21">
        <f>(C18-100)*-1</f>
        <v>50</v>
      </c>
      <c r="D19" s="21">
        <f t="shared" ref="D19:I19" si="0">(D18-100)*-1</f>
        <v>50</v>
      </c>
      <c r="E19" s="21">
        <f t="shared" si="0"/>
        <v>50</v>
      </c>
      <c r="F19" s="21">
        <f t="shared" si="0"/>
        <v>50</v>
      </c>
      <c r="G19" s="21">
        <f t="shared" si="0"/>
        <v>50</v>
      </c>
      <c r="H19" s="21">
        <f t="shared" si="0"/>
        <v>50</v>
      </c>
      <c r="I19" s="21">
        <f t="shared" si="0"/>
        <v>50</v>
      </c>
    </row>
    <row r="22" spans="3:9" x14ac:dyDescent="0.25">
      <c r="D22" s="8" t="s">
        <v>12</v>
      </c>
      <c r="H22" s="7" t="s">
        <v>13</v>
      </c>
    </row>
  </sheetData>
  <sheetProtection algorithmName="SHA-512" hashValue="roGoJSS6z+hzThmF4DBSIzKYMdWblX1/s15rcK+G2Aa90JJsekptBVuSM9qrBiMQ4W0NvmTvqpxypIXjxwTyjQ==" saltValue="ek7MwB0FOeWMZOen4iBpqQ==" spinCount="100000" sheet="1" objects="1" scenarios="1" selectLockedCells="1" selectUnlockedCells="1"/>
  <mergeCells count="1">
    <mergeCell ref="C2:I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Scroll Bar 1">
              <controlPr defaultSize="0" autoPict="0">
                <anchor moveWithCells="1">
                  <from>
                    <xdr:col>2</xdr:col>
                    <xdr:colOff>352425</xdr:colOff>
                    <xdr:row>4</xdr:row>
                    <xdr:rowOff>9525</xdr:rowOff>
                  </from>
                  <to>
                    <xdr:col>2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croll Bar 2">
              <controlPr defaultSize="0" autoPict="0">
                <anchor moveWithCells="1">
                  <from>
                    <xdr:col>3</xdr:col>
                    <xdr:colOff>352425</xdr:colOff>
                    <xdr:row>4</xdr:row>
                    <xdr:rowOff>9525</xdr:rowOff>
                  </from>
                  <to>
                    <xdr:col>3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Scroll Bar 3">
              <controlPr defaultSize="0" autoPict="0">
                <anchor moveWithCells="1">
                  <from>
                    <xdr:col>4</xdr:col>
                    <xdr:colOff>352425</xdr:colOff>
                    <xdr:row>4</xdr:row>
                    <xdr:rowOff>9525</xdr:rowOff>
                  </from>
                  <to>
                    <xdr:col>4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croll Bar 4">
              <controlPr defaultSize="0" autoPict="0">
                <anchor moveWithCells="1">
                  <from>
                    <xdr:col>5</xdr:col>
                    <xdr:colOff>352425</xdr:colOff>
                    <xdr:row>4</xdr:row>
                    <xdr:rowOff>9525</xdr:rowOff>
                  </from>
                  <to>
                    <xdr:col>5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Scroll Bar 5">
              <controlPr defaultSize="0" autoPict="0">
                <anchor moveWithCells="1">
                  <from>
                    <xdr:col>6</xdr:col>
                    <xdr:colOff>352425</xdr:colOff>
                    <xdr:row>4</xdr:row>
                    <xdr:rowOff>9525</xdr:rowOff>
                  </from>
                  <to>
                    <xdr:col>6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Scroll Bar 6">
              <controlPr defaultSize="0" autoPict="0">
                <anchor moveWithCells="1">
                  <from>
                    <xdr:col>7</xdr:col>
                    <xdr:colOff>352425</xdr:colOff>
                    <xdr:row>4</xdr:row>
                    <xdr:rowOff>9525</xdr:rowOff>
                  </from>
                  <to>
                    <xdr:col>7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Scroll Bar 7">
              <controlPr defaultSize="0" autoPict="0">
                <anchor moveWithCells="1">
                  <from>
                    <xdr:col>8</xdr:col>
                    <xdr:colOff>352425</xdr:colOff>
                    <xdr:row>4</xdr:row>
                    <xdr:rowOff>9525</xdr:rowOff>
                  </from>
                  <to>
                    <xdr:col>8</xdr:col>
                    <xdr:colOff>714375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4"/>
  <sheetViews>
    <sheetView showGridLines="0" zoomScaleNormal="100" workbookViewId="0">
      <selection activeCell="F23" sqref="F23"/>
    </sheetView>
  </sheetViews>
  <sheetFormatPr defaultRowHeight="15" x14ac:dyDescent="0.25"/>
  <cols>
    <col min="1" max="8" width="17.5703125" style="2" customWidth="1"/>
    <col min="9" max="9" width="10.7109375" style="2" customWidth="1"/>
    <col min="10" max="16384" width="9.140625" style="2"/>
  </cols>
  <sheetData>
    <row r="1" spans="1:8" x14ac:dyDescent="0.25">
      <c r="A1" s="9"/>
      <c r="B1" s="10" t="s">
        <v>4</v>
      </c>
      <c r="C1" s="10" t="s">
        <v>5</v>
      </c>
      <c r="D1" s="10" t="s">
        <v>14</v>
      </c>
      <c r="E1" s="10" t="s">
        <v>15</v>
      </c>
      <c r="F1" s="10" t="s">
        <v>8</v>
      </c>
      <c r="G1" s="10" t="s">
        <v>16</v>
      </c>
      <c r="H1" s="11" t="s">
        <v>17</v>
      </c>
    </row>
    <row r="2" spans="1:8" x14ac:dyDescent="0.25">
      <c r="A2" s="12" t="s">
        <v>18</v>
      </c>
      <c r="B2" s="13">
        <f>'Текущий уровень'!D19</f>
        <v>50</v>
      </c>
      <c r="C2" s="13">
        <f>'Текущий уровень'!E19</f>
        <v>50</v>
      </c>
      <c r="D2" s="13">
        <f>'Текущий уровень'!F19</f>
        <v>50</v>
      </c>
      <c r="E2" s="13">
        <f>'Текущий уровень'!G19</f>
        <v>50</v>
      </c>
      <c r="F2" s="13">
        <f>'Текущий уровень'!H19</f>
        <v>50</v>
      </c>
      <c r="G2" s="13">
        <f>'Текущий уровень'!I19</f>
        <v>50</v>
      </c>
      <c r="H2" s="9">
        <f>ROUND(AVERAGE(B2:G2),0)</f>
        <v>50</v>
      </c>
    </row>
    <row r="3" spans="1:8" ht="30" x14ac:dyDescent="0.25">
      <c r="A3" s="12" t="s">
        <v>19</v>
      </c>
      <c r="B3" s="14" t="str">
        <f t="shared" ref="B3:H3" si="0">IF(B2&gt;74,"Очень высокий",IF(B2&gt;59,"Высокий",IF(B2&gt;44,"Средний","Низкий")))</f>
        <v>Средний</v>
      </c>
      <c r="C3" s="14" t="str">
        <f t="shared" si="0"/>
        <v>Средний</v>
      </c>
      <c r="D3" s="14" t="str">
        <f t="shared" si="0"/>
        <v>Средний</v>
      </c>
      <c r="E3" s="14" t="str">
        <f t="shared" si="0"/>
        <v>Средний</v>
      </c>
      <c r="F3" s="14" t="str">
        <f t="shared" si="0"/>
        <v>Средний</v>
      </c>
      <c r="G3" s="14" t="str">
        <f t="shared" si="0"/>
        <v>Средний</v>
      </c>
      <c r="H3" s="14" t="str">
        <f t="shared" si="0"/>
        <v>Средний</v>
      </c>
    </row>
    <row r="4" spans="1:8" x14ac:dyDescent="0.25">
      <c r="A4" s="12" t="s">
        <v>20</v>
      </c>
      <c r="B4" s="15">
        <f>'Уровень притязаний'!C19</f>
        <v>50</v>
      </c>
      <c r="C4" s="15">
        <f>'Уровень притязаний'!D19</f>
        <v>50</v>
      </c>
      <c r="D4" s="15">
        <f>'Уровень притязаний'!E19</f>
        <v>50</v>
      </c>
      <c r="E4" s="15">
        <f>'Уровень притязаний'!F19</f>
        <v>50</v>
      </c>
      <c r="F4" s="15">
        <f>'Уровень притязаний'!G19</f>
        <v>50</v>
      </c>
      <c r="G4" s="15">
        <f>'Уровень притязаний'!H19</f>
        <v>50</v>
      </c>
      <c r="H4" s="9">
        <f>ROUND(AVERAGE(B4:G4),0)</f>
        <v>50</v>
      </c>
    </row>
    <row r="5" spans="1:8" ht="30" x14ac:dyDescent="0.25">
      <c r="A5" s="12" t="s">
        <v>21</v>
      </c>
      <c r="B5" s="14" t="str">
        <f>IF(B4&gt;89,"Очень высокий",IF(B4&gt;74,"Высокий",IF(B4&gt;59,"Средний","Низкий")))</f>
        <v>Низкий</v>
      </c>
      <c r="C5" s="14" t="str">
        <f t="shared" ref="C5:H5" si="1">IF(C4&gt;89,"Очень высокий",IF(C4&gt;74,"Высокий",IF(C4&gt;59,"Средний","Низкий")))</f>
        <v>Низкий</v>
      </c>
      <c r="D5" s="14" t="str">
        <f t="shared" si="1"/>
        <v>Низкий</v>
      </c>
      <c r="E5" s="14" t="str">
        <f t="shared" si="1"/>
        <v>Низкий</v>
      </c>
      <c r="F5" s="14" t="str">
        <f t="shared" si="1"/>
        <v>Низкий</v>
      </c>
      <c r="G5" s="14" t="str">
        <f t="shared" si="1"/>
        <v>Низкий</v>
      </c>
      <c r="H5" s="14" t="str">
        <f t="shared" si="1"/>
        <v>Низкий</v>
      </c>
    </row>
    <row r="6" spans="1:8" x14ac:dyDescent="0.25">
      <c r="A6" s="10" t="s">
        <v>22</v>
      </c>
      <c r="B6" s="15">
        <f>B4-B2</f>
        <v>0</v>
      </c>
      <c r="C6" s="15">
        <f t="shared" ref="C6:H6" si="2">C4-C2</f>
        <v>0</v>
      </c>
      <c r="D6" s="15">
        <f t="shared" si="2"/>
        <v>0</v>
      </c>
      <c r="E6" s="15">
        <f t="shared" si="2"/>
        <v>0</v>
      </c>
      <c r="F6" s="15">
        <f t="shared" si="2"/>
        <v>0</v>
      </c>
      <c r="G6" s="15">
        <f t="shared" si="2"/>
        <v>0</v>
      </c>
      <c r="H6" s="15">
        <f t="shared" si="2"/>
        <v>0</v>
      </c>
    </row>
    <row r="7" spans="1:8" x14ac:dyDescent="0.25">
      <c r="A7" s="16" t="s">
        <v>23</v>
      </c>
      <c r="B7" s="9" t="str">
        <f t="shared" ref="B7:H7" si="3">IF(B6&gt;22,"Конфликт. Низко оценивает себя, а уровень притязаний слишком высокий.",
IF(B6&gt;7,"Умеренная. Школьник ставит задачи, которые может достичь, реально смотрит.",
IF(B6&gt;-1,"Уровень притязания не является стимулом для развития, особенно для низкой самооценки.","При низкой самооценке человек на развивается, махнул на себя рукой.")))</f>
        <v>Уровень притязания не является стимулом для развития, особенно для низкой самооценки.</v>
      </c>
      <c r="C7" s="9" t="str">
        <f t="shared" si="3"/>
        <v>Уровень притязания не является стимулом для развития, особенно для низкой самооценки.</v>
      </c>
      <c r="D7" s="9" t="str">
        <f t="shared" si="3"/>
        <v>Уровень притязания не является стимулом для развития, особенно для низкой самооценки.</v>
      </c>
      <c r="E7" s="9" t="str">
        <f t="shared" si="3"/>
        <v>Уровень притязания не является стимулом для развития, особенно для низкой самооценки.</v>
      </c>
      <c r="F7" s="9" t="str">
        <f t="shared" si="3"/>
        <v>Уровень притязания не является стимулом для развития, особенно для низкой самооценки.</v>
      </c>
      <c r="G7" s="9" t="str">
        <f t="shared" si="3"/>
        <v>Уровень притязания не является стимулом для развития, особенно для низкой самооценки.</v>
      </c>
      <c r="H7" s="9" t="str">
        <f t="shared" si="3"/>
        <v>Уровень притязания не является стимулом для развития, особенно для низкой самооценки.</v>
      </c>
    </row>
    <row r="8" spans="1:8" ht="30" x14ac:dyDescent="0.25">
      <c r="A8" s="12" t="s">
        <v>19</v>
      </c>
      <c r="B8" s="17">
        <f>IF(B2&gt;74,3,IF(B2&gt;59,5,IF(B2&gt;44,4,2)))</f>
        <v>4</v>
      </c>
      <c r="C8" s="17">
        <f t="shared" ref="C8:H8" si="4">IF(C2&gt;74,3,IF(C2&gt;59,5,IF(C2&gt;44,4,2)))</f>
        <v>4</v>
      </c>
      <c r="D8" s="17">
        <f t="shared" si="4"/>
        <v>4</v>
      </c>
      <c r="E8" s="17">
        <f t="shared" si="4"/>
        <v>4</v>
      </c>
      <c r="F8" s="17">
        <f t="shared" si="4"/>
        <v>4</v>
      </c>
      <c r="G8" s="17">
        <f t="shared" si="4"/>
        <v>4</v>
      </c>
      <c r="H8" s="17">
        <f t="shared" si="4"/>
        <v>4</v>
      </c>
    </row>
    <row r="9" spans="1:8" ht="30" x14ac:dyDescent="0.25">
      <c r="A9" s="12" t="s">
        <v>21</v>
      </c>
      <c r="B9" s="17">
        <f>IF(B4&gt;89,4,IF(B4&gt;74,5,IF(B4&gt;59,3,2)))</f>
        <v>2</v>
      </c>
      <c r="C9" s="17">
        <f t="shared" ref="C9:H9" si="5">IF(C4&gt;89,4,IF(C4&gt;74,5,IF(C4&gt;59,3,2)))</f>
        <v>2</v>
      </c>
      <c r="D9" s="17">
        <f t="shared" si="5"/>
        <v>2</v>
      </c>
      <c r="E9" s="17">
        <f t="shared" si="5"/>
        <v>2</v>
      </c>
      <c r="F9" s="17">
        <f t="shared" si="5"/>
        <v>2</v>
      </c>
      <c r="G9" s="17">
        <f t="shared" si="5"/>
        <v>2</v>
      </c>
      <c r="H9" s="17">
        <f t="shared" si="5"/>
        <v>2</v>
      </c>
    </row>
    <row r="10" spans="1:8" x14ac:dyDescent="0.25">
      <c r="A10" s="16" t="s">
        <v>23</v>
      </c>
      <c r="B10" s="18">
        <f>IF(B6&gt;22,4,IF(B6&gt;7,5,IF(B6&gt;-1,3,2)))</f>
        <v>3</v>
      </c>
      <c r="C10" s="18">
        <f t="shared" ref="C10:H10" si="6">IF(C6&gt;22,4,IF(C6&gt;7,5,IF(C6&gt;-1,3,2)))</f>
        <v>3</v>
      </c>
      <c r="D10" s="18">
        <f t="shared" si="6"/>
        <v>3</v>
      </c>
      <c r="E10" s="18">
        <f t="shared" si="6"/>
        <v>3</v>
      </c>
      <c r="F10" s="18">
        <f t="shared" si="6"/>
        <v>3</v>
      </c>
      <c r="G10" s="18">
        <f t="shared" si="6"/>
        <v>3</v>
      </c>
      <c r="H10" s="18">
        <f t="shared" si="6"/>
        <v>3</v>
      </c>
    </row>
    <row r="11" spans="1:8" x14ac:dyDescent="0.25">
      <c r="A11" s="19" t="s">
        <v>24</v>
      </c>
      <c r="B11" s="2">
        <f>ROUND((B8+B9+B10)/3,0)</f>
        <v>3</v>
      </c>
      <c r="C11" s="2">
        <f t="shared" ref="C11:H11" si="7">ROUND((C8+C9+C10)/3,0)</f>
        <v>3</v>
      </c>
      <c r="D11" s="2">
        <f t="shared" si="7"/>
        <v>3</v>
      </c>
      <c r="E11" s="2">
        <f t="shared" si="7"/>
        <v>3</v>
      </c>
      <c r="F11" s="2">
        <f t="shared" si="7"/>
        <v>3</v>
      </c>
      <c r="G11" s="2">
        <f t="shared" si="7"/>
        <v>3</v>
      </c>
      <c r="H11" s="2">
        <f t="shared" si="7"/>
        <v>3</v>
      </c>
    </row>
    <row r="14" spans="1:8" x14ac:dyDescent="0.25">
      <c r="A14" s="2" t="s">
        <v>25</v>
      </c>
      <c r="B14" s="2">
        <v>32</v>
      </c>
      <c r="C14" s="2">
        <v>33</v>
      </c>
      <c r="D14" s="2">
        <v>34</v>
      </c>
      <c r="E14" s="2">
        <v>35</v>
      </c>
      <c r="F14" s="2">
        <v>36</v>
      </c>
      <c r="G14" s="2">
        <v>37</v>
      </c>
      <c r="H14" s="2">
        <v>38</v>
      </c>
    </row>
    <row r="15" spans="1:8" x14ac:dyDescent="0.25">
      <c r="A15" s="2" t="s">
        <v>26</v>
      </c>
      <c r="B15" s="2">
        <f>B11</f>
        <v>3</v>
      </c>
      <c r="C15" s="2">
        <f t="shared" ref="C15:H15" si="8">C11</f>
        <v>3</v>
      </c>
      <c r="D15" s="2">
        <f t="shared" si="8"/>
        <v>3</v>
      </c>
      <c r="E15" s="2">
        <f t="shared" si="8"/>
        <v>3</v>
      </c>
      <c r="F15" s="2">
        <f t="shared" si="8"/>
        <v>3</v>
      </c>
      <c r="G15" s="2">
        <f t="shared" si="8"/>
        <v>3</v>
      </c>
      <c r="H15" s="2">
        <f t="shared" si="8"/>
        <v>3</v>
      </c>
    </row>
    <row r="16" spans="1:8" x14ac:dyDescent="0.25">
      <c r="A16" s="2" t="s">
        <v>27</v>
      </c>
      <c r="B16" s="2" t="str">
        <f t="shared" ref="B16:H16" si="9">CONCATENATE($A$2,": ",B2,"; ",$A$4,": ",B4,". ")</f>
        <v xml:space="preserve">Самооценка: 50; Притязание: 50. </v>
      </c>
      <c r="C16" s="2" t="str">
        <f t="shared" si="9"/>
        <v xml:space="preserve">Самооценка: 50; Притязание: 50. </v>
      </c>
      <c r="D16" s="2" t="str">
        <f t="shared" si="9"/>
        <v xml:space="preserve">Самооценка: 50; Притязание: 50. </v>
      </c>
      <c r="E16" s="2" t="str">
        <f t="shared" si="9"/>
        <v xml:space="preserve">Самооценка: 50; Притязание: 50. </v>
      </c>
      <c r="F16" s="2" t="str">
        <f t="shared" si="9"/>
        <v xml:space="preserve">Самооценка: 50; Притязание: 50. </v>
      </c>
      <c r="G16" s="2" t="str">
        <f t="shared" si="9"/>
        <v xml:space="preserve">Самооценка: 50; Притязание: 50. </v>
      </c>
      <c r="H16" s="2" t="str">
        <f t="shared" si="9"/>
        <v xml:space="preserve">Самооценка: 50; Притязание: 50. </v>
      </c>
    </row>
    <row r="17" spans="1:11" x14ac:dyDescent="0.25">
      <c r="A17" s="2" t="s">
        <v>28</v>
      </c>
      <c r="B17" s="2" t="str">
        <f>CONCATENATE($A$3,": ",B3,"; ",$A$5,": ",B5,"; ",B7)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C17" s="2" t="str">
        <f t="shared" ref="C17:H17" si="10">CONCATENATE($A$3,": ",C3,"; ",$A$5,": ",C5,"; ",C7)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D17" s="2" t="str">
        <f t="shared" si="10"/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E17" s="2" t="str">
        <f t="shared" si="10"/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F17" s="2" t="str">
        <f t="shared" si="10"/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G17" s="2" t="str">
        <f t="shared" si="10"/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H17" s="2" t="str">
        <f t="shared" si="10"/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</row>
    <row r="22" spans="1:11" ht="18.75" x14ac:dyDescent="0.3">
      <c r="A22" s="20" t="s">
        <v>29</v>
      </c>
    </row>
    <row r="24" spans="1:11" x14ac:dyDescent="0.25">
      <c r="A24" s="25" t="s">
        <v>30</v>
      </c>
      <c r="B24" s="25"/>
      <c r="C24" s="25"/>
      <c r="D24" s="25"/>
      <c r="E24" s="25"/>
      <c r="F24" s="25"/>
      <c r="G24" s="25"/>
      <c r="H24" s="25"/>
      <c r="I24" s="25"/>
      <c r="J24" s="25"/>
      <c r="K24" s="25"/>
    </row>
  </sheetData>
  <mergeCells count="1">
    <mergeCell ref="A24:K2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Title_Sheet"/>
  <dimension ref="B1:B7"/>
  <sheetViews>
    <sheetView showGridLines="0" showRowColHeaders="0" tabSelected="1" workbookViewId="0">
      <selection activeCell="H16" sqref="H16"/>
    </sheetView>
  </sheetViews>
  <sheetFormatPr defaultRowHeight="15" x14ac:dyDescent="0.25"/>
  <cols>
    <col min="1" max="1" width="38.140625" customWidth="1"/>
  </cols>
  <sheetData>
    <row r="1" spans="2:2" ht="92.25" customHeight="1" x14ac:dyDescent="0.25"/>
    <row r="2" spans="2:2" x14ac:dyDescent="0.25">
      <c r="B2" t="s">
        <v>1</v>
      </c>
    </row>
    <row r="7" spans="2:2" x14ac:dyDescent="0.25">
      <c r="B7" t="s">
        <v>0</v>
      </c>
    </row>
  </sheetData>
  <sheetProtection algorithmName="SHA-512" hashValue="aA2P6Djn7abpEQwiUfnDJkXqlMSWzbbeiQNvRz+4MSgskkXCyu1r5py4FwfOSxH4QeU69TjuDfkgJSAHJqmsuw==" saltValue="S1FfTft1nnnUdqF6YZ9RTg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roup_List">
          <controlPr defaultSize="0" autoLine="0" autoPict="0" r:id="rId5">
            <anchor moveWithCells="1">
              <from>
                <xdr:col>1</xdr:col>
                <xdr:colOff>9525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66675</xdr:rowOff>
              </to>
            </anchor>
          </controlPr>
        </control>
      </mc:Choice>
      <mc:Fallback>
        <control shapeId="1027" r:id="rId4" name="Group_List"/>
      </mc:Fallback>
    </mc:AlternateContent>
    <mc:AlternateContent xmlns:mc="http://schemas.openxmlformats.org/markup-compatibility/2006">
      <mc:Choice Requires="x14">
        <control shapeId="1026" r:id="rId6" name="Pupil_List">
          <controlPr defaultSize="0" autoLine="0" r:id="rId7">
            <anchor moveWithCells="1">
              <from>
                <xdr:col>1</xdr:col>
                <xdr:colOff>9525</xdr:colOff>
                <xdr:row>8</xdr:row>
                <xdr:rowOff>0</xdr:rowOff>
              </from>
              <to>
                <xdr:col>7</xdr:col>
                <xdr:colOff>9525</xdr:colOff>
                <xdr:row>9</xdr:row>
                <xdr:rowOff>57150</xdr:rowOff>
              </to>
            </anchor>
          </controlPr>
        </control>
      </mc:Choice>
      <mc:Fallback>
        <control shapeId="1026" r:id="rId6" name="Pupil_List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ThisWorkbook.Start_Test">
            <anchor moveWithCells="1" sizeWithCells="1">
              <from>
                <xdr:col>1</xdr:col>
                <xdr:colOff>9525</xdr:colOff>
                <xdr:row>11</xdr:row>
                <xdr:rowOff>0</xdr:rowOff>
              </from>
              <to>
                <xdr:col>6</xdr:col>
                <xdr:colOff>600075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9" name="Button 8">
          <controlPr defaultSize="0" print="0" autoFill="0" autoPict="0" macro="[0]!ThisWorkbook.Exit_Module">
            <anchor moveWithCells="1" sizeWithCells="1">
              <from>
                <xdr:col>1</xdr:col>
                <xdr:colOff>19050</xdr:colOff>
                <xdr:row>15</xdr:row>
                <xdr:rowOff>0</xdr:rowOff>
              </from>
              <to>
                <xdr:col>7</xdr:col>
                <xdr:colOff>0</xdr:colOff>
                <xdr:row>17</xdr:row>
                <xdr:rowOff>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X_Metrics_Sheet"/>
  <dimension ref="A1:I5"/>
  <sheetViews>
    <sheetView workbookViewId="0">
      <selection activeCell="E10" sqref="E10"/>
    </sheetView>
  </sheetViews>
  <sheetFormatPr defaultRowHeight="15" x14ac:dyDescent="0.25"/>
  <cols>
    <col min="1" max="10" width="13" customWidth="1"/>
  </cols>
  <sheetData>
    <row r="1" spans="1:9" x14ac:dyDescent="0.25">
      <c r="A1" s="1"/>
      <c r="B1" s="1"/>
      <c r="C1" s="1"/>
      <c r="D1" s="1"/>
    </row>
    <row r="2" spans="1:9" x14ac:dyDescent="0.25">
      <c r="A2" s="1">
        <f>'Сводный лист'!B14</f>
        <v>32</v>
      </c>
      <c r="B2" s="1">
        <f>'Сводный лист'!C14</f>
        <v>33</v>
      </c>
      <c r="C2" s="1">
        <f>'Сводный лист'!D14</f>
        <v>34</v>
      </c>
      <c r="D2" s="1">
        <f>'Сводный лист'!E14</f>
        <v>35</v>
      </c>
      <c r="E2" s="1">
        <f>'Сводный лист'!F14</f>
        <v>36</v>
      </c>
      <c r="F2" s="1">
        <f>'Сводный лист'!G14</f>
        <v>37</v>
      </c>
      <c r="G2" s="1">
        <f>'Сводный лист'!H14</f>
        <v>38</v>
      </c>
      <c r="H2" s="1"/>
      <c r="I2" s="1"/>
    </row>
    <row r="3" spans="1:9" x14ac:dyDescent="0.25">
      <c r="A3" s="1">
        <f>'Сводный лист'!B15</f>
        <v>3</v>
      </c>
      <c r="B3" s="1">
        <f>'Сводный лист'!C15</f>
        <v>3</v>
      </c>
      <c r="C3" s="1">
        <f>'Сводный лист'!D15</f>
        <v>3</v>
      </c>
      <c r="D3" s="1">
        <f>'Сводный лист'!E15</f>
        <v>3</v>
      </c>
      <c r="E3" s="1">
        <f>'Сводный лист'!F15</f>
        <v>3</v>
      </c>
      <c r="F3" s="1">
        <f>'Сводный лист'!G15</f>
        <v>3</v>
      </c>
      <c r="G3" s="1">
        <f>'Сводный лист'!H15</f>
        <v>3</v>
      </c>
      <c r="H3" s="1"/>
      <c r="I3" s="1"/>
    </row>
    <row r="4" spans="1:9" x14ac:dyDescent="0.25">
      <c r="A4" s="1" t="str">
        <f>'Сводный лист'!B16</f>
        <v xml:space="preserve">Самооценка: 50; Притязание: 50. </v>
      </c>
      <c r="B4" s="1" t="str">
        <f>'Сводный лист'!C16</f>
        <v xml:space="preserve">Самооценка: 50; Притязание: 50. </v>
      </c>
      <c r="C4" s="1" t="str">
        <f>'Сводный лист'!D16</f>
        <v xml:space="preserve">Самооценка: 50; Притязание: 50. </v>
      </c>
      <c r="D4" s="1" t="str">
        <f>'Сводный лист'!E16</f>
        <v xml:space="preserve">Самооценка: 50; Притязание: 50. </v>
      </c>
      <c r="E4" s="1" t="str">
        <f>'Сводный лист'!F16</f>
        <v xml:space="preserve">Самооценка: 50; Притязание: 50. </v>
      </c>
      <c r="F4" s="1" t="str">
        <f>'Сводный лист'!G16</f>
        <v xml:space="preserve">Самооценка: 50; Притязание: 50. </v>
      </c>
      <c r="G4" s="1" t="str">
        <f>'Сводный лист'!H16</f>
        <v xml:space="preserve">Самооценка: 50; Притязание: 50. </v>
      </c>
      <c r="H4" s="1"/>
      <c r="I4" s="1"/>
    </row>
    <row r="5" spans="1:9" x14ac:dyDescent="0.25">
      <c r="A5" s="1" t="str">
        <f>'Сводный лист'!B17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B5" s="1" t="str">
        <f>'Сводный лист'!C17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C5" s="1" t="str">
        <f>'Сводный лист'!D17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D5" s="1" t="str">
        <f>'Сводный лист'!E17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E5" s="1" t="str">
        <f>'Сводный лист'!F17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F5" s="1" t="str">
        <f>'Сводный лист'!G17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G5" s="1" t="str">
        <f>'Сводный лист'!H17</f>
        <v>Уровень самооценки: Средний; Уровень притязаний: Низкий; Уровень притязания не является стимулом для развития, особенно для низкой самооценки.</v>
      </c>
      <c r="H5" s="1"/>
      <c r="I5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</xdr:col>
                <xdr:colOff>723900</xdr:colOff>
                <xdr:row>15</xdr:row>
                <xdr:rowOff>0</xdr:rowOff>
              </from>
              <to>
                <xdr:col>8</xdr:col>
                <xdr:colOff>190500</xdr:colOff>
                <xdr:row>20</xdr:row>
                <xdr:rowOff>9525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TestRanges">
          <controlPr defaultSize="0" autoLine="0" r:id="rId7">
            <anchor moveWithCells="1">
              <from>
                <xdr:col>0</xdr:col>
                <xdr:colOff>666750</xdr:colOff>
                <xdr:row>15</xdr:row>
                <xdr:rowOff>142875</xdr:rowOff>
              </from>
              <to>
                <xdr:col>4</xdr:col>
                <xdr:colOff>133350</xdr:colOff>
                <xdr:row>20</xdr:row>
                <xdr:rowOff>152400</xdr:rowOff>
              </to>
            </anchor>
          </controlPr>
        </control>
      </mc:Choice>
      <mc:Fallback>
        <control shapeId="7169" r:id="rId6" name="TestRanges"/>
      </mc:Fallback>
    </mc:AlternateContent>
    <mc:AlternateContent xmlns:mc="http://schemas.openxmlformats.org/markup-compatibility/2006">
      <mc:Choice Requires="x14">
        <control shapeId="7170" r:id="rId8" name="Button 2">
          <controlPr defaultSize="0" print="0" autoFill="0" autoPict="0" macro="[0]!ThisWorkbook.Complete_Test">
            <anchor moveWithCells="1" sizeWithCells="1">
              <from>
                <xdr:col>0</xdr:col>
                <xdr:colOff>838200</xdr:colOff>
                <xdr:row>10</xdr:row>
                <xdr:rowOff>180975</xdr:rowOff>
              </from>
              <to>
                <xdr:col>4</xdr:col>
                <xdr:colOff>28575</xdr:colOff>
                <xdr:row>13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Текущий уровень</vt:lpstr>
      <vt:lpstr>Уровень притязаний</vt:lpstr>
      <vt:lpstr>Сводный лист</vt:lpstr>
      <vt:lpstr>Титульная страница</vt:lpstr>
      <vt:lpstr>Итоговые метрики</vt:lpstr>
    </vt:vector>
  </TitlesOfParts>
  <Company>rg-adguard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2018-06-05T10:50:44Z</dcterms:created>
  <dcterms:modified xsi:type="dcterms:W3CDTF">2018-06-07T01:54:21Z</dcterms:modified>
</cp:coreProperties>
</file>