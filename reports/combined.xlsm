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reports\"/>
    </mc:Choice>
  </mc:AlternateContent>
  <bookViews>
    <workbookView showSheetTabs="0" xWindow="0" yWindow="0" windowWidth="24705" windowHeight="12255"/>
  </bookViews>
  <sheets>
    <sheet name="Титульная страница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1" l="1"/>
  <c r="R7" i="1"/>
  <c r="M7" i="1"/>
  <c r="H7" i="1"/>
  <c r="R8" i="1" l="1"/>
  <c r="H8" i="1"/>
  <c r="H10" i="1" s="1"/>
  <c r="H9" i="1" l="1"/>
  <c r="H11" i="1"/>
  <c r="W8" i="1"/>
  <c r="M8" i="1"/>
  <c r="E9" i="1"/>
  <c r="F9" i="1"/>
  <c r="G9" i="1"/>
  <c r="I9" i="1"/>
  <c r="J9" i="1"/>
  <c r="K9" i="1"/>
  <c r="L9" i="1"/>
  <c r="N9" i="1"/>
  <c r="O9" i="1"/>
  <c r="P9" i="1"/>
  <c r="Q9" i="1"/>
  <c r="S9" i="1"/>
  <c r="T9" i="1"/>
  <c r="U9" i="1"/>
  <c r="V9" i="1"/>
  <c r="E10" i="1"/>
  <c r="F10" i="1"/>
  <c r="G10" i="1"/>
  <c r="I10" i="1"/>
  <c r="J10" i="1"/>
  <c r="K10" i="1"/>
  <c r="L10" i="1"/>
  <c r="N10" i="1"/>
  <c r="O10" i="1"/>
  <c r="P10" i="1"/>
  <c r="Q10" i="1"/>
  <c r="S10" i="1"/>
  <c r="T10" i="1"/>
  <c r="U10" i="1"/>
  <c r="V10" i="1"/>
  <c r="E11" i="1"/>
  <c r="F11" i="1"/>
  <c r="G11" i="1"/>
  <c r="I11" i="1"/>
  <c r="J11" i="1"/>
  <c r="K11" i="1"/>
  <c r="L11" i="1"/>
  <c r="N11" i="1"/>
  <c r="O11" i="1"/>
  <c r="P11" i="1"/>
  <c r="Q11" i="1"/>
  <c r="S11" i="1"/>
  <c r="T11" i="1"/>
  <c r="U11" i="1"/>
  <c r="V11" i="1"/>
  <c r="D11" i="1"/>
  <c r="D10" i="1"/>
  <c r="D9" i="1"/>
  <c r="W11" i="1" l="1"/>
  <c r="W9" i="1"/>
  <c r="M10" i="1"/>
  <c r="W10" i="1"/>
  <c r="R9" i="1"/>
  <c r="R11" i="1"/>
  <c r="R10" i="1"/>
  <c r="M11" i="1"/>
  <c r="M9" i="1"/>
</calcChain>
</file>

<file path=xl/sharedStrings.xml><?xml version="1.0" encoding="utf-8"?>
<sst xmlns="http://schemas.openxmlformats.org/spreadsheetml/2006/main" count="36" uniqueCount="30">
  <si>
    <t>Выбор группы</t>
  </si>
  <si>
    <t>№</t>
  </si>
  <si>
    <t>Фамилия Имя</t>
  </si>
  <si>
    <t>Познавательные</t>
  </si>
  <si>
    <t>УУД</t>
  </si>
  <si>
    <t>Личностные</t>
  </si>
  <si>
    <t>Регулятивные</t>
  </si>
  <si>
    <t>Коммуникативные</t>
  </si>
  <si>
    <t>Александровская  критерий 1.1.</t>
  </si>
  <si>
    <t>Александровская  критерий  1.4.</t>
  </si>
  <si>
    <t>Итог</t>
  </si>
  <si>
    <t>Александровская критерий 2.1.</t>
  </si>
  <si>
    <t>Александровская критерий  4.</t>
  </si>
  <si>
    <t>Дембо Рубенштейн</t>
  </si>
  <si>
    <t>Лусканова</t>
  </si>
  <si>
    <t>Александровская критерии  1.2.</t>
  </si>
  <si>
    <t>Александровская критерии   1.3.</t>
  </si>
  <si>
    <t xml:space="preserve">Александровская критерии 2.2.  </t>
  </si>
  <si>
    <t>Счет по Крипелину</t>
  </si>
  <si>
    <t>Александровская критерии 2.3.</t>
  </si>
  <si>
    <t>Александровская критерии 3.1.</t>
  </si>
  <si>
    <t>Александровская критерии  3.2.</t>
  </si>
  <si>
    <t>Социометрия</t>
  </si>
  <si>
    <t>уровень</t>
  </si>
  <si>
    <t>Высокий</t>
  </si>
  <si>
    <t>Средний</t>
  </si>
  <si>
    <t xml:space="preserve">Низкий </t>
  </si>
  <si>
    <t xml:space="preserve">Ясюкова – Тест №1
Оценка сформированности навыка чтения </t>
  </si>
  <si>
    <t>Ясюкова – Тест №2
Оценка самостоятельности мышления.</t>
  </si>
  <si>
    <t>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</si>
</sst>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wrapText="1"/>
    </xf>
    <xf numFmtId="14" fontId="0" fillId="0" borderId="0" xfId="0" applyNumberFormat="1" applyAlignment="1" applyProtection="1">
      <alignment horizontal="center" vertical="center"/>
    </xf>
    <xf numFmtId="0" fontId="1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 applyProtection="1">
      <alignment horizontal="center" textRotation="90" wrapText="1"/>
    </xf>
    <xf numFmtId="0" fontId="2" fillId="0" borderId="1" xfId="0" applyFont="1" applyBorder="1" applyAlignment="1" applyProtection="1">
      <alignment horizontal="center" textRotation="90" wrapText="1"/>
    </xf>
    <xf numFmtId="0" fontId="3" fillId="2" borderId="1" xfId="0" applyFont="1" applyFill="1" applyBorder="1" applyAlignment="1">
      <alignment vertical="center" wrapText="1"/>
    </xf>
    <xf numFmtId="0" fontId="2" fillId="0" borderId="1" xfId="0" applyFont="1" applyBorder="1" applyAlignment="1" applyProtection="1">
      <alignment horizontal="center" wrapText="1"/>
    </xf>
    <xf numFmtId="0" fontId="3" fillId="0" borderId="1" xfId="0" applyFont="1" applyBorder="1" applyAlignment="1">
      <alignment vertical="center" textRotation="90" wrapText="1"/>
    </xf>
    <xf numFmtId="0" fontId="2" fillId="0" borderId="1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</xdr:row>
          <xdr:rowOff>9525</xdr:rowOff>
        </xdr:from>
        <xdr:to>
          <xdr:col>9</xdr:col>
          <xdr:colOff>285750</xdr:colOff>
          <xdr:row>2</xdr:row>
          <xdr:rowOff>19050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0</xdr:rowOff>
        </xdr:from>
        <xdr:to>
          <xdr:col>14</xdr:col>
          <xdr:colOff>19050</xdr:colOff>
          <xdr:row>2</xdr:row>
          <xdr:rowOff>9525</xdr:rowOff>
        </xdr:to>
        <xdr:sp macro="" textlink="">
          <xdr:nvSpPr>
            <xdr:cNvPr id="1031" name="Year_Inp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409575</xdr:colOff>
          <xdr:row>1</xdr:row>
          <xdr:rowOff>0</xdr:rowOff>
        </xdr:from>
        <xdr:to>
          <xdr:col>19</xdr:col>
          <xdr:colOff>0</xdr:colOff>
          <xdr:row>2</xdr:row>
          <xdr:rowOff>19050</xdr:rowOff>
        </xdr:to>
        <xdr:sp macro="" textlink="">
          <xdr:nvSpPr>
            <xdr:cNvPr id="1032" name="List_Pup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409575</xdr:colOff>
          <xdr:row>1</xdr:row>
          <xdr:rowOff>0</xdr:rowOff>
        </xdr:from>
        <xdr:to>
          <xdr:col>23</xdr:col>
          <xdr:colOff>9525</xdr:colOff>
          <xdr:row>2</xdr:row>
          <xdr:rowOff>19050</xdr:rowOff>
        </xdr:to>
        <xdr:sp macro="" textlink="">
          <xdr:nvSpPr>
            <xdr:cNvPr id="1033" name="Exit_Butto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A1:X11"/>
  <sheetViews>
    <sheetView showGridLines="0" tabSelected="1" workbookViewId="0">
      <selection activeCell="C4" sqref="C4:C6"/>
    </sheetView>
  </sheetViews>
  <sheetFormatPr defaultRowHeight="15" x14ac:dyDescent="0.25"/>
  <cols>
    <col min="1" max="1" width="5" customWidth="1"/>
    <col min="2" max="2" width="4.7109375" style="1" customWidth="1"/>
    <col min="3" max="3" width="26.7109375" style="3" customWidth="1"/>
    <col min="4" max="4" width="6.28515625" style="2" customWidth="1"/>
    <col min="5" max="5" width="6.28515625" style="4" customWidth="1"/>
    <col min="6" max="23" width="6.28515625" customWidth="1"/>
  </cols>
  <sheetData>
    <row r="1" spans="1:24" ht="6.75" customHeight="1" x14ac:dyDescent="0.25">
      <c r="A1" s="5"/>
      <c r="B1" s="6"/>
      <c r="C1" s="7"/>
      <c r="D1" s="8"/>
      <c r="E1" s="9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8.75" customHeight="1" x14ac:dyDescent="0.25">
      <c r="A2" s="5"/>
      <c r="B2" s="10" t="s">
        <v>0</v>
      </c>
      <c r="C2" s="7"/>
      <c r="D2" s="8"/>
      <c r="E2" s="9"/>
      <c r="F2" s="5"/>
      <c r="G2" s="5"/>
      <c r="H2" s="5"/>
      <c r="I2" s="5"/>
      <c r="J2" s="5"/>
      <c r="K2" s="11" t="s">
        <v>29</v>
      </c>
      <c r="L2" s="5"/>
      <c r="M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5.25" customHeight="1" x14ac:dyDescent="0.25">
      <c r="A3" s="5"/>
      <c r="B3" s="6"/>
      <c r="C3" s="7"/>
      <c r="D3" s="8"/>
      <c r="E3" s="9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ht="15.75" customHeight="1" x14ac:dyDescent="0.25">
      <c r="A4" s="5"/>
      <c r="B4" s="18" t="s">
        <v>1</v>
      </c>
      <c r="C4" s="18" t="s">
        <v>2</v>
      </c>
      <c r="D4" s="16" t="s">
        <v>3</v>
      </c>
      <c r="E4" s="16"/>
      <c r="F4" s="16"/>
      <c r="G4" s="16"/>
      <c r="H4" s="16"/>
      <c r="I4" s="16" t="s">
        <v>5</v>
      </c>
      <c r="J4" s="16"/>
      <c r="K4" s="16"/>
      <c r="L4" s="16"/>
      <c r="M4" s="16"/>
      <c r="N4" s="16" t="s">
        <v>6</v>
      </c>
      <c r="O4" s="16"/>
      <c r="P4" s="16"/>
      <c r="Q4" s="16"/>
      <c r="R4" s="16"/>
      <c r="S4" s="16" t="s">
        <v>7</v>
      </c>
      <c r="T4" s="16"/>
      <c r="U4" s="16"/>
      <c r="V4" s="16"/>
      <c r="W4" s="16"/>
      <c r="X4" s="5"/>
    </row>
    <row r="5" spans="1:24" ht="15.75" x14ac:dyDescent="0.25">
      <c r="A5" s="5"/>
      <c r="B5" s="18"/>
      <c r="C5" s="18"/>
      <c r="D5" s="16" t="s">
        <v>4</v>
      </c>
      <c r="E5" s="16"/>
      <c r="F5" s="16"/>
      <c r="G5" s="16"/>
      <c r="H5" s="16"/>
      <c r="I5" s="16" t="s">
        <v>4</v>
      </c>
      <c r="J5" s="16"/>
      <c r="K5" s="16"/>
      <c r="L5" s="16"/>
      <c r="M5" s="16"/>
      <c r="N5" s="16" t="s">
        <v>4</v>
      </c>
      <c r="O5" s="16"/>
      <c r="P5" s="16"/>
      <c r="Q5" s="16"/>
      <c r="R5" s="16"/>
      <c r="S5" s="16" t="s">
        <v>4</v>
      </c>
      <c r="T5" s="16"/>
      <c r="U5" s="16"/>
      <c r="V5" s="16"/>
      <c r="W5" s="16"/>
      <c r="X5" s="5"/>
    </row>
    <row r="6" spans="1:24" ht="228.75" x14ac:dyDescent="0.25">
      <c r="A6" s="5"/>
      <c r="B6" s="18"/>
      <c r="C6" s="18"/>
      <c r="D6" s="13" t="s">
        <v>8</v>
      </c>
      <c r="E6" s="13" t="s">
        <v>9</v>
      </c>
      <c r="F6" s="13" t="s">
        <v>27</v>
      </c>
      <c r="G6" s="13" t="s">
        <v>28</v>
      </c>
      <c r="H6" s="14" t="s">
        <v>10</v>
      </c>
      <c r="I6" s="13" t="s">
        <v>11</v>
      </c>
      <c r="J6" s="13" t="s">
        <v>12</v>
      </c>
      <c r="K6" s="13" t="s">
        <v>13</v>
      </c>
      <c r="L6" s="13" t="s">
        <v>14</v>
      </c>
      <c r="M6" s="14" t="s">
        <v>10</v>
      </c>
      <c r="N6" s="13" t="s">
        <v>15</v>
      </c>
      <c r="O6" s="13" t="s">
        <v>16</v>
      </c>
      <c r="P6" s="13" t="s">
        <v>17</v>
      </c>
      <c r="Q6" s="13" t="s">
        <v>18</v>
      </c>
      <c r="R6" s="14" t="s">
        <v>10</v>
      </c>
      <c r="S6" s="13" t="s">
        <v>19</v>
      </c>
      <c r="T6" s="13" t="s">
        <v>20</v>
      </c>
      <c r="U6" s="13" t="s">
        <v>21</v>
      </c>
      <c r="V6" s="13" t="s">
        <v>22</v>
      </c>
      <c r="W6" s="14" t="s">
        <v>10</v>
      </c>
      <c r="X6" s="5"/>
    </row>
    <row r="7" spans="1:24" ht="15.75" x14ac:dyDescent="0.25">
      <c r="B7" s="12"/>
      <c r="C7" s="12"/>
      <c r="D7" s="12"/>
      <c r="E7" s="12"/>
      <c r="F7" s="12"/>
      <c r="G7" s="12"/>
      <c r="H7" s="15">
        <f t="shared" ref="H7:H8" si="0">ROUND((D7+E7+F7+G7)/4,0)</f>
        <v>0</v>
      </c>
      <c r="I7" s="12"/>
      <c r="J7" s="12"/>
      <c r="K7" s="12"/>
      <c r="L7" s="12"/>
      <c r="M7" s="15">
        <f t="shared" ref="M7:M8" si="1">ROUND((I7+J7+K7+L7)/4,0)</f>
        <v>0</v>
      </c>
      <c r="N7" s="12"/>
      <c r="O7" s="12"/>
      <c r="P7" s="12"/>
      <c r="Q7" s="12"/>
      <c r="R7" s="15">
        <f t="shared" ref="R7:R8" si="2">ROUND((N7+O7+P7+Q7)/4,0)</f>
        <v>0</v>
      </c>
      <c r="S7" s="12"/>
      <c r="T7" s="12"/>
      <c r="U7" s="12"/>
      <c r="V7" s="12"/>
      <c r="W7" s="15">
        <f t="shared" ref="W7:W8" si="3">ROUND((S7+T7+U7+V7)/4,0)</f>
        <v>0</v>
      </c>
    </row>
    <row r="8" spans="1:24" ht="15.75" x14ac:dyDescent="0.25">
      <c r="B8" s="12"/>
      <c r="C8" s="12"/>
      <c r="D8" s="12"/>
      <c r="E8" s="12"/>
      <c r="F8" s="12"/>
      <c r="G8" s="12"/>
      <c r="H8" s="15">
        <f t="shared" si="0"/>
        <v>0</v>
      </c>
      <c r="I8" s="12"/>
      <c r="J8" s="12"/>
      <c r="K8" s="12"/>
      <c r="L8" s="12"/>
      <c r="M8" s="15">
        <f t="shared" si="1"/>
        <v>0</v>
      </c>
      <c r="N8" s="12"/>
      <c r="O8" s="12"/>
      <c r="P8" s="12"/>
      <c r="Q8" s="12"/>
      <c r="R8" s="15">
        <f t="shared" si="2"/>
        <v>0</v>
      </c>
      <c r="S8" s="12"/>
      <c r="T8" s="12"/>
      <c r="U8" s="12"/>
      <c r="V8" s="12"/>
      <c r="W8" s="15">
        <f t="shared" si="3"/>
        <v>0</v>
      </c>
    </row>
    <row r="9" spans="1:24" ht="15.75" x14ac:dyDescent="0.25">
      <c r="B9" s="17" t="s">
        <v>23</v>
      </c>
      <c r="C9" s="12" t="s">
        <v>24</v>
      </c>
      <c r="D9" s="12">
        <f t="shared" ref="D9:W9" si="4">COUNTIF(D7:D8,5)</f>
        <v>0</v>
      </c>
      <c r="E9" s="12">
        <f t="shared" si="4"/>
        <v>0</v>
      </c>
      <c r="F9" s="12">
        <f t="shared" si="4"/>
        <v>0</v>
      </c>
      <c r="G9" s="12">
        <f t="shared" si="4"/>
        <v>0</v>
      </c>
      <c r="H9" s="15">
        <f t="shared" si="4"/>
        <v>0</v>
      </c>
      <c r="I9" s="12">
        <f t="shared" si="4"/>
        <v>0</v>
      </c>
      <c r="J9" s="12">
        <f t="shared" si="4"/>
        <v>0</v>
      </c>
      <c r="K9" s="12">
        <f t="shared" si="4"/>
        <v>0</v>
      </c>
      <c r="L9" s="12">
        <f t="shared" si="4"/>
        <v>0</v>
      </c>
      <c r="M9" s="15">
        <f t="shared" si="4"/>
        <v>0</v>
      </c>
      <c r="N9" s="12">
        <f t="shared" si="4"/>
        <v>0</v>
      </c>
      <c r="O9" s="12">
        <f t="shared" si="4"/>
        <v>0</v>
      </c>
      <c r="P9" s="12">
        <f t="shared" si="4"/>
        <v>0</v>
      </c>
      <c r="Q9" s="12">
        <f t="shared" si="4"/>
        <v>0</v>
      </c>
      <c r="R9" s="15">
        <f t="shared" si="4"/>
        <v>0</v>
      </c>
      <c r="S9" s="12">
        <f t="shared" si="4"/>
        <v>0</v>
      </c>
      <c r="T9" s="12">
        <f t="shared" si="4"/>
        <v>0</v>
      </c>
      <c r="U9" s="12">
        <f t="shared" si="4"/>
        <v>0</v>
      </c>
      <c r="V9" s="12">
        <f t="shared" si="4"/>
        <v>0</v>
      </c>
      <c r="W9" s="15">
        <f t="shared" si="4"/>
        <v>0</v>
      </c>
    </row>
    <row r="10" spans="1:24" ht="15.75" x14ac:dyDescent="0.25">
      <c r="B10" s="17"/>
      <c r="C10" s="12" t="s">
        <v>25</v>
      </c>
      <c r="D10" s="12">
        <f t="shared" ref="D10:W10" si="5">COUNTIF(D7:D8,3)+COUNTIF(D7:D8,4)</f>
        <v>0</v>
      </c>
      <c r="E10" s="12">
        <f t="shared" si="5"/>
        <v>0</v>
      </c>
      <c r="F10" s="12">
        <f t="shared" si="5"/>
        <v>0</v>
      </c>
      <c r="G10" s="12">
        <f t="shared" si="5"/>
        <v>0</v>
      </c>
      <c r="H10" s="15">
        <f t="shared" si="5"/>
        <v>0</v>
      </c>
      <c r="I10" s="12">
        <f t="shared" si="5"/>
        <v>0</v>
      </c>
      <c r="J10" s="12">
        <f t="shared" si="5"/>
        <v>0</v>
      </c>
      <c r="K10" s="12">
        <f t="shared" si="5"/>
        <v>0</v>
      </c>
      <c r="L10" s="12">
        <f t="shared" si="5"/>
        <v>0</v>
      </c>
      <c r="M10" s="15">
        <f t="shared" si="5"/>
        <v>0</v>
      </c>
      <c r="N10" s="12">
        <f t="shared" si="5"/>
        <v>0</v>
      </c>
      <c r="O10" s="12">
        <f t="shared" si="5"/>
        <v>0</v>
      </c>
      <c r="P10" s="12">
        <f t="shared" si="5"/>
        <v>0</v>
      </c>
      <c r="Q10" s="12">
        <f t="shared" si="5"/>
        <v>0</v>
      </c>
      <c r="R10" s="15">
        <f t="shared" si="5"/>
        <v>0</v>
      </c>
      <c r="S10" s="12">
        <f t="shared" si="5"/>
        <v>0</v>
      </c>
      <c r="T10" s="12">
        <f t="shared" si="5"/>
        <v>0</v>
      </c>
      <c r="U10" s="12">
        <f t="shared" si="5"/>
        <v>0</v>
      </c>
      <c r="V10" s="12">
        <f t="shared" si="5"/>
        <v>0</v>
      </c>
      <c r="W10" s="15">
        <f t="shared" si="5"/>
        <v>0</v>
      </c>
    </row>
    <row r="11" spans="1:24" ht="15.75" x14ac:dyDescent="0.25">
      <c r="B11" s="17"/>
      <c r="C11" s="12" t="s">
        <v>26</v>
      </c>
      <c r="D11" s="12">
        <f t="shared" ref="D11:W11" si="6">COUNTIF(D7:D8,1)+COUNTIF(D7:D8,2)</f>
        <v>0</v>
      </c>
      <c r="E11" s="12">
        <f t="shared" si="6"/>
        <v>0</v>
      </c>
      <c r="F11" s="12">
        <f t="shared" si="6"/>
        <v>0</v>
      </c>
      <c r="G11" s="12">
        <f t="shared" si="6"/>
        <v>0</v>
      </c>
      <c r="H11" s="15">
        <f t="shared" si="6"/>
        <v>0</v>
      </c>
      <c r="I11" s="12">
        <f t="shared" si="6"/>
        <v>0</v>
      </c>
      <c r="J11" s="12">
        <f t="shared" si="6"/>
        <v>0</v>
      </c>
      <c r="K11" s="12">
        <f t="shared" si="6"/>
        <v>0</v>
      </c>
      <c r="L11" s="12">
        <f t="shared" si="6"/>
        <v>0</v>
      </c>
      <c r="M11" s="15">
        <f t="shared" si="6"/>
        <v>0</v>
      </c>
      <c r="N11" s="12">
        <f t="shared" si="6"/>
        <v>0</v>
      </c>
      <c r="O11" s="12">
        <f t="shared" si="6"/>
        <v>0</v>
      </c>
      <c r="P11" s="12">
        <f t="shared" si="6"/>
        <v>0</v>
      </c>
      <c r="Q11" s="12">
        <f t="shared" si="6"/>
        <v>0</v>
      </c>
      <c r="R11" s="15">
        <f t="shared" si="6"/>
        <v>0</v>
      </c>
      <c r="S11" s="12">
        <f t="shared" si="6"/>
        <v>0</v>
      </c>
      <c r="T11" s="12">
        <f t="shared" si="6"/>
        <v>0</v>
      </c>
      <c r="U11" s="12">
        <f t="shared" si="6"/>
        <v>0</v>
      </c>
      <c r="V11" s="12">
        <f t="shared" si="6"/>
        <v>0</v>
      </c>
      <c r="W11" s="15">
        <f t="shared" si="6"/>
        <v>0</v>
      </c>
    </row>
  </sheetData>
  <sheetProtection selectLockedCells="1" selectUnlockedCells="1"/>
  <mergeCells count="11">
    <mergeCell ref="N4:R4"/>
    <mergeCell ref="N5:R5"/>
    <mergeCell ref="S4:W4"/>
    <mergeCell ref="S5:W5"/>
    <mergeCell ref="B9:B11"/>
    <mergeCell ref="C4:C6"/>
    <mergeCell ref="D4:H4"/>
    <mergeCell ref="D5:H5"/>
    <mergeCell ref="I4:M4"/>
    <mergeCell ref="I5:M5"/>
    <mergeCell ref="B4:B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r:id="rId5">
            <anchor moveWithCells="1">
              <from>
                <xdr:col>2</xdr:col>
                <xdr:colOff>800100</xdr:colOff>
                <xdr:row>1</xdr:row>
                <xdr:rowOff>9525</xdr:rowOff>
              </from>
              <to>
                <xdr:col>9</xdr:col>
                <xdr:colOff>285750</xdr:colOff>
                <xdr:row>2</xdr:row>
                <xdr:rowOff>19050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31" r:id="rId6" name="Year_Input">
          <controlPr defaultSize="0" autoLine="0" r:id="rId7">
            <anchor moveWithCells="1">
              <from>
                <xdr:col>11</xdr:col>
                <xdr:colOff>9525</xdr:colOff>
                <xdr:row>1</xdr:row>
                <xdr:rowOff>0</xdr:rowOff>
              </from>
              <to>
                <xdr:col>14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031" r:id="rId6" name="Year_Input"/>
      </mc:Fallback>
    </mc:AlternateContent>
    <mc:AlternateContent xmlns:mc="http://schemas.openxmlformats.org/markup-compatibility/2006">
      <mc:Choice Requires="x14">
        <control shapeId="1032" r:id="rId8" name="List_Pupils">
          <controlPr defaultSize="0" autoLine="0" r:id="rId9">
            <anchor moveWithCells="1">
              <from>
                <xdr:col>14</xdr:col>
                <xdr:colOff>409575</xdr:colOff>
                <xdr:row>1</xdr:row>
                <xdr:rowOff>0</xdr:rowOff>
              </from>
              <to>
                <xdr:col>19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32" r:id="rId8" name="List_Pupils"/>
      </mc:Fallback>
    </mc:AlternateContent>
    <mc:AlternateContent xmlns:mc="http://schemas.openxmlformats.org/markup-compatibility/2006">
      <mc:Choice Requires="x14">
        <control shapeId="1033" r:id="rId10" name="Exit_Button">
          <controlPr defaultSize="0" autoFill="0" autoLine="0" autoPict="0" r:id="rId11">
            <anchor moveWithCells="1">
              <from>
                <xdr:col>19</xdr:col>
                <xdr:colOff>409575</xdr:colOff>
                <xdr:row>1</xdr:row>
                <xdr:rowOff>0</xdr:rowOff>
              </from>
              <to>
                <xdr:col>23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33" r:id="rId10" name="Exit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Титульная страница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2018-06-07T02:57:47Z</dcterms:modified>
</cp:coreProperties>
</file>